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<sst xmlns="http://schemas.openxmlformats.org/spreadsheetml/2006/main" count="219" uniqueCount="128">
  <si>
    <t xml:space="preserve">Product Backlog — FETWork V1.0</t>
  </si>
  <si>
    <t xml:space="preserve">Fundación Escuela Tecnológica de Neiva (FET) · Ingeniería de Software II · Derivado del Documento de Requisitos v1.0</t>
  </si>
  <si>
    <t xml:space="preserve">ID Historia</t>
  </si>
  <si>
    <t xml:space="preserve">RF relacionado</t>
  </si>
  <si>
    <t xml:space="preserve">Módulo / Épica</t>
  </si>
  <si>
    <t xml:space="preserve">Historia de Usuario</t>
  </si>
  <si>
    <t xml:space="preserve">Criterios de Aceptación</t>
  </si>
  <si>
    <t xml:space="preserve">Prioridad</t>
  </si>
  <si>
    <t xml:space="preserve">Sprint asignado</t>
  </si>
  <si>
    <t xml:space="preserve">Estado</t>
  </si>
  <si>
    <t xml:space="preserve">HU-01</t>
  </si>
  <si>
    <t xml:space="preserve">RF-01</t>
  </si>
  <si>
    <t xml:space="preserve">Gestión de usuarios</t>
  </si>
  <si>
    <t xml:space="preserve">Como estudiante, quiero registrarme en la plataforma con mis datos y credenciales, para poder acceder a FETWork y crear mi perfil profesional.</t>
  </si>
  <si>
    <t xml:space="preserve">El sistema valida datos obligatorios y correo institucional/único; la contraseña se almacena de forma segura; se crea la cuenta con rol Estudiante.</t>
  </si>
  <si>
    <t xml:space="preserve">Alta</t>
  </si>
  <si>
    <t xml:space="preserve">Sprint 1</t>
  </si>
  <si>
    <t xml:space="preserve">Por hacer</t>
  </si>
  <si>
    <t xml:space="preserve">HU-02</t>
  </si>
  <si>
    <t xml:space="preserve">RF-02</t>
  </si>
  <si>
    <t xml:space="preserve">Como empresa, quiero registrarme en la plataforma con la información básica de mi organización, para poder buscar y consultar perfiles de estudiantes.</t>
  </si>
  <si>
    <t xml:space="preserve">El sistema valida los datos obligatorios de la empresa; se crea la cuenta con rol Empresa; se informa si el registro fue exitoso o falló.</t>
  </si>
  <si>
    <t xml:space="preserve">HU-03</t>
  </si>
  <si>
    <t xml:space="preserve">RF-03</t>
  </si>
  <si>
    <t xml:space="preserve">Como usuario registrado, quiero iniciar sesión con mis credenciales, para acceder a las funcionalidades correspondientes a mi rol.</t>
  </si>
  <si>
    <t xml:space="preserve">El sistema valida usuario/contraseña; redirige según el rol (estudiante, empresa, administrador); muestra error claro ante credenciales inválidas.</t>
  </si>
  <si>
    <t xml:space="preserve">HU-04</t>
  </si>
  <si>
    <t xml:space="preserve">RF-04</t>
  </si>
  <si>
    <t xml:space="preserve">Como usuario registrado, quiero cerrar sesión de forma segura, para proteger el acceso a mi cuenta.</t>
  </si>
  <si>
    <t xml:space="preserve">La sesión se invalida al cerrar sesión; el usuario es redirigido a la pantalla de inicio de sesión; no se puede volver a páginas protegidas sin autenticar de nuevo.</t>
  </si>
  <si>
    <t xml:space="preserve">Media</t>
  </si>
  <si>
    <t xml:space="preserve">HU-05</t>
  </si>
  <si>
    <t xml:space="preserve">RF-05</t>
  </si>
  <si>
    <t xml:space="preserve">Como usuario registrado, quiero recuperar mi contraseña, para volver a acceder a mi cuenta en caso de olvidarla.</t>
  </si>
  <si>
    <t xml:space="preserve">El sistema ofrece un mecanismo de recuperación (correo u otro); permite establecer una nueva contraseña de forma segura.</t>
  </si>
  <si>
    <t xml:space="preserve">HU-06</t>
  </si>
  <si>
    <t xml:space="preserve">RF-23</t>
  </si>
  <si>
    <t xml:space="preserve">Administración</t>
  </si>
  <si>
    <t xml:space="preserve">Como administrador, quiero consultar y gestionar las cuentas registradas de estudiantes y empresas, para mantener el control de los usuarios de la plataforma.</t>
  </si>
  <si>
    <t xml:space="preserve">El administrador puede ver el listado de usuarios, buscar por nombre/rol y suspender o eliminar cuentas cuando sea necesario.</t>
  </si>
  <si>
    <t xml:space="preserve">HU-07</t>
  </si>
  <si>
    <t xml:space="preserve">RF-06</t>
  </si>
  <si>
    <t xml:space="preserve">Perfil del estudiante</t>
  </si>
  <si>
    <t xml:space="preserve">Como estudiante, quiero crear, consultar y actualizar mi perfil profesional, para mantener mi información visible y actualizada.</t>
  </si>
  <si>
    <t xml:space="preserve">El estudiante puede crear el perfil tras registrarse, editar campos existentes y ver los cambios reflejados de inmediato.</t>
  </si>
  <si>
    <t xml:space="preserve">Sprint 2</t>
  </si>
  <si>
    <t xml:space="preserve">HU-08</t>
  </si>
  <si>
    <t xml:space="preserve">RF-07</t>
  </si>
  <si>
    <t xml:space="preserve">Como estudiante, quiero registrar mi información académica (programa, semestre, entre otros), para que mi perfil refleje mi formación.</t>
  </si>
  <si>
    <t xml:space="preserve">El estudiante selecciona/ingresa programa académico y semestre; la información queda guardada y editable.</t>
  </si>
  <si>
    <t xml:space="preserve">HU-09</t>
  </si>
  <si>
    <t xml:space="preserve">RF-08</t>
  </si>
  <si>
    <t xml:space="preserve">Como estudiante, quiero agregar, modificar y eliminar habilidades en mi perfil, para mostrar mis competencias a las empresas.</t>
  </si>
  <si>
    <t xml:space="preserve">El estudiante puede añadir habilidades desde una lista o texto libre, editarlas y eliminarlas; los cambios se reflejan en el perfil.</t>
  </si>
  <si>
    <t xml:space="preserve">Sprint 3</t>
  </si>
  <si>
    <t xml:space="preserve">HU-10</t>
  </si>
  <si>
    <t xml:space="preserve">RF-09</t>
  </si>
  <si>
    <t xml:space="preserve">Como estudiante, quiero registrar mi experiencia profesional o académica, para complementar mi perfil con mi trayectoria.</t>
  </si>
  <si>
    <t xml:space="preserve">El estudiante puede agregar, editar y eliminar registros de experiencia con los datos relevantes (cargo, entidad, periodo, descripción).</t>
  </si>
  <si>
    <t xml:space="preserve">HU-11</t>
  </si>
  <si>
    <t xml:space="preserve">RF-10</t>
  </si>
  <si>
    <t xml:space="preserve">Como estudiante, quiero registrar mis certificaciones y cursos relevantes, para reforzar mi perfil profesional.</t>
  </si>
  <si>
    <t xml:space="preserve">El estudiante puede agregar, editar y eliminar certificaciones con nombre, entidad emisora y fecha.</t>
  </si>
  <si>
    <t xml:space="preserve">HU-12</t>
  </si>
  <si>
    <t xml:space="preserve">RF-11</t>
  </si>
  <si>
    <t xml:space="preserve">Como estudiante, quiero registrar y administrar mis proyectos (nombre, descripción, tecnologías y enlaces), para demostrar mis capacidades a las empresas.</t>
  </si>
  <si>
    <t xml:space="preserve">El estudiante puede crear, editar y eliminar proyectos con los campos definidos; los proyectos quedan asociados a su perfil.</t>
  </si>
  <si>
    <t xml:space="preserve">HU-13</t>
  </si>
  <si>
    <t xml:space="preserve">RF-14</t>
  </si>
  <si>
    <t xml:space="preserve">Como estudiante, quiero agregar o proporcionar mi hoja de vida, para complementar la información de mi perfil profesional.</t>
  </si>
  <si>
    <t xml:space="preserve">El estudiante puede adjuntar o enlazar su hoja de vida; el archivo/enlace queda accesible desde su perfil.</t>
  </si>
  <si>
    <t xml:space="preserve">Baja</t>
  </si>
  <si>
    <t xml:space="preserve">HU-14</t>
  </si>
  <si>
    <t xml:space="preserve">RF-12</t>
  </si>
  <si>
    <t xml:space="preserve">Portafolio y GitHub</t>
  </si>
  <si>
    <t xml:space="preserve">Como estudiante, quiero asociar el enlace de mi perfil de GitHub, para que las empresas puedan consultar mis repositorios.</t>
  </si>
  <si>
    <t xml:space="preserve">El estudiante puede agregar/editar el enlace de GitHub; el enlace se muestra correctamente en el perfil público.</t>
  </si>
  <si>
    <t xml:space="preserve">Sprint 4</t>
  </si>
  <si>
    <t xml:space="preserve">HU-15</t>
  </si>
  <si>
    <t xml:space="preserve">RF-13</t>
  </si>
  <si>
    <t xml:space="preserve">Como estudiante, quiero agregar un enlace a mi portafolio profesional, para mostrar mi trabajo de forma centralizada.</t>
  </si>
  <si>
    <t xml:space="preserve">El estudiante puede agregar/editar el enlace de portafolio; el enlace se muestra correctamente en el perfil.</t>
  </si>
  <si>
    <t xml:space="preserve">HU-16</t>
  </si>
  <si>
    <t xml:space="preserve">RF-15</t>
  </si>
  <si>
    <t xml:space="preserve">Perfil público</t>
  </si>
  <si>
    <t xml:space="preserve">Como estudiante, quiero contar con una vista pública de mi perfil profesional, para que las empresas puedan conocerme sin necesidad de una cuenta.</t>
  </si>
  <si>
    <t xml:space="preserve">Existe una URL/vista pública que muestra la información habilitada del estudiante; no expone datos marcados como privados.</t>
  </si>
  <si>
    <t xml:space="preserve">HU-17</t>
  </si>
  <si>
    <t xml:space="preserve">RF-16</t>
  </si>
  <si>
    <t xml:space="preserve">Como estudiante, quiero definir qué información de mi perfil puede consultarse públicamente, para controlar mi privacidad.</t>
  </si>
  <si>
    <t xml:space="preserve">El estudiante puede marcar secciones/campos como públicos o privados; el perfil público respeta esa configuración.</t>
  </si>
  <si>
    <t xml:space="preserve">HU-18</t>
  </si>
  <si>
    <t xml:space="preserve">RF-17</t>
  </si>
  <si>
    <t xml:space="preserve">Módulo empresarial</t>
  </si>
  <si>
    <t xml:space="preserve">Como empresa, quiero crear y modificar mi perfil empresarial, para que los estudiantes y el sistema me identifiquen correctamente.</t>
  </si>
  <si>
    <t xml:space="preserve">La empresa puede editar nombre, descripción, sector y demás datos definidos; los cambios se guardan correctamente.</t>
  </si>
  <si>
    <t xml:space="preserve">Sprint 5</t>
  </si>
  <si>
    <t xml:space="preserve">HU-19</t>
  </si>
  <si>
    <t xml:space="preserve">RF-18</t>
  </si>
  <si>
    <t xml:space="preserve">Como empresa, quiero buscar estudiantes registrados en la plataforma, para identificar talento de interés.</t>
  </si>
  <si>
    <t xml:space="preserve">La empresa puede ejecutar búsquedas por nombre u otros criterios básicos y obtener resultados relevantes.</t>
  </si>
  <si>
    <t xml:space="preserve">HU-20</t>
  </si>
  <si>
    <t xml:space="preserve">RF-19</t>
  </si>
  <si>
    <t xml:space="preserve">Como empresa, quiero filtrar estudiantes por programa académico, habilidades u otros criterios, para acotar mi búsqueda de talento.</t>
  </si>
  <si>
    <t xml:space="preserve">El sistema ofrece filtros funcionales (programa, habilidades, entre otros) que actualizan los resultados de búsqueda.</t>
  </si>
  <si>
    <t xml:space="preserve">HU-21</t>
  </si>
  <si>
    <t xml:space="preserve">RF-20</t>
  </si>
  <si>
    <t xml:space="preserve">Como empresa, quiero consultar el perfil profesional público de un estudiante, para evaluar su idoneidad.</t>
  </si>
  <si>
    <t xml:space="preserve">La empresa puede abrir el perfil público de un estudiante desde los resultados de búsqueda y ver su información habilitada.</t>
  </si>
  <si>
    <t xml:space="preserve">HU-22</t>
  </si>
  <si>
    <t xml:space="preserve">RF-21</t>
  </si>
  <si>
    <t xml:space="preserve">Como empresa, quiero visualizar los proyectos publicados por un estudiante, para conocer su experiencia práctica.</t>
  </si>
  <si>
    <t xml:space="preserve">Los proyectos del estudiante son visibles desde su perfil público, con descripción, tecnologías y enlaces.</t>
  </si>
  <si>
    <t xml:space="preserve">HU-23</t>
  </si>
  <si>
    <t xml:space="preserve">RF-22</t>
  </si>
  <si>
    <t xml:space="preserve">Como empresa, quiero acceder a los enlaces profesionales publicados por el estudiante (GitHub, portafolio), para conocer más sobre su trabajo.</t>
  </si>
  <si>
    <t xml:space="preserve">Los enlaces de GitHub y portafolio, si están habilitados, son visibles y funcionales desde el perfil público.</t>
  </si>
  <si>
    <t xml:space="preserve">HU-24</t>
  </si>
  <si>
    <t xml:space="preserve">RF-24</t>
  </si>
  <si>
    <t xml:space="preserve">Como administrador, quiero gestionar la información general de la plataforma (programas académicos y categorías de habilidades), para mantener datos consistentes en el sistema.</t>
  </si>
  <si>
    <t xml:space="preserve">El administrador puede crear, editar y eliminar programas académicos y categorías de habilidades usados en los perfiles.</t>
  </si>
  <si>
    <t xml:space="preserve">Integración</t>
  </si>
  <si>
    <t xml:space="preserve">Resumen del Product Backlog — FETWork V1.0</t>
  </si>
  <si>
    <t xml:space="preserve">Historias por Sprint</t>
  </si>
  <si>
    <t xml:space="preserve">Sprint</t>
  </si>
  <si>
    <t xml:space="preserve">N.º de historias</t>
  </si>
  <si>
    <t xml:space="preserve">Historias por Prioridad</t>
  </si>
  <si>
    <t xml:space="preserve">Total de historias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</si>
</sst>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48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5.05" hidden="false" customHeight="false" outlineLevel="0" collapsed="false">
      <c r="A5" s="4" t="s">
        <v>10</v>
      </c>
      <c r="B5" s="5" t="s">
        <v>11</v>
      </c>
      <c r="C5" s="5" t="s">
        <v>12</v>
      </c>
      <c r="D5" s="6" t="s">
        <v>13</v>
      </c>
      <c r="E5" s="6" t="s">
        <v>14</v>
      </c>
      <c r="F5" s="7" t="s">
        <v>15</v>
      </c>
      <c r="G5" s="5" t="s">
        <v>16</v>
      </c>
      <c r="H5" s="5" t="s">
        <v>17</v>
      </c>
    </row>
    <row r="6" customFormat="false" ht="35.05" hidden="false" customHeight="false" outlineLevel="0" collapsed="false">
      <c r="A6" s="4" t="s">
        <v>18</v>
      </c>
      <c r="B6" s="5" t="s">
        <v>19</v>
      </c>
      <c r="C6" s="5" t="s">
        <v>12</v>
      </c>
      <c r="D6" s="6" t="s">
        <v>20</v>
      </c>
      <c r="E6" s="6" t="s">
        <v>21</v>
      </c>
      <c r="F6" s="7" t="s">
        <v>15</v>
      </c>
      <c r="G6" s="5" t="s">
        <v>16</v>
      </c>
      <c r="H6" s="5" t="s">
        <v>17</v>
      </c>
    </row>
    <row r="7" customFormat="false" ht="35.05" hidden="false" customHeight="false" outlineLevel="0" collapsed="false">
      <c r="A7" s="4" t="s">
        <v>22</v>
      </c>
      <c r="B7" s="5" t="s">
        <v>23</v>
      </c>
      <c r="C7" s="5" t="s">
        <v>12</v>
      </c>
      <c r="D7" s="6" t="s">
        <v>24</v>
      </c>
      <c r="E7" s="6" t="s">
        <v>25</v>
      </c>
      <c r="F7" s="7" t="s">
        <v>15</v>
      </c>
      <c r="G7" s="5" t="s">
        <v>16</v>
      </c>
      <c r="H7" s="5" t="s">
        <v>17</v>
      </c>
    </row>
    <row r="8" customFormat="false" ht="35.05" hidden="false" customHeight="false" outlineLevel="0" collapsed="false">
      <c r="A8" s="4" t="s">
        <v>26</v>
      </c>
      <c r="B8" s="5" t="s">
        <v>27</v>
      </c>
      <c r="C8" s="5" t="s">
        <v>12</v>
      </c>
      <c r="D8" s="6" t="s">
        <v>28</v>
      </c>
      <c r="E8" s="6" t="s">
        <v>29</v>
      </c>
      <c r="F8" s="8" t="s">
        <v>30</v>
      </c>
      <c r="G8" s="5" t="s">
        <v>16</v>
      </c>
      <c r="H8" s="5" t="s">
        <v>17</v>
      </c>
    </row>
    <row r="9" customFormat="false" ht="35.05" hidden="false" customHeight="false" outlineLevel="0" collapsed="false">
      <c r="A9" s="4" t="s">
        <v>31</v>
      </c>
      <c r="B9" s="5" t="s">
        <v>32</v>
      </c>
      <c r="C9" s="5" t="s">
        <v>12</v>
      </c>
      <c r="D9" s="6" t="s">
        <v>33</v>
      </c>
      <c r="E9" s="6" t="s">
        <v>34</v>
      </c>
      <c r="F9" s="8" t="s">
        <v>30</v>
      </c>
      <c r="G9" s="5" t="s">
        <v>16</v>
      </c>
      <c r="H9" s="5" t="s">
        <v>17</v>
      </c>
    </row>
    <row r="10" customFormat="false" ht="35.05" hidden="false" customHeight="false" outlineLevel="0" collapsed="false">
      <c r="A10" s="4" t="s">
        <v>35</v>
      </c>
      <c r="B10" s="5" t="s">
        <v>36</v>
      </c>
      <c r="C10" s="5" t="s">
        <v>37</v>
      </c>
      <c r="D10" s="6" t="s">
        <v>38</v>
      </c>
      <c r="E10" s="6" t="s">
        <v>39</v>
      </c>
      <c r="F10" s="8" t="s">
        <v>30</v>
      </c>
      <c r="G10" s="5" t="s">
        <v>16</v>
      </c>
      <c r="H10" s="5" t="s">
        <v>17</v>
      </c>
    </row>
    <row r="11" customFormat="false" ht="35.05" hidden="false" customHeight="false" outlineLevel="0" collapsed="false">
      <c r="A11" s="4" t="s">
        <v>40</v>
      </c>
      <c r="B11" s="5" t="s">
        <v>41</v>
      </c>
      <c r="C11" s="5" t="s">
        <v>42</v>
      </c>
      <c r="D11" s="6" t="s">
        <v>43</v>
      </c>
      <c r="E11" s="6" t="s">
        <v>44</v>
      </c>
      <c r="F11" s="7" t="s">
        <v>15</v>
      </c>
      <c r="G11" s="5" t="s">
        <v>45</v>
      </c>
      <c r="H11" s="5" t="s">
        <v>17</v>
      </c>
    </row>
    <row r="12" customFormat="false" ht="35.05" hidden="false" customHeight="false" outlineLevel="0" collapsed="false">
      <c r="A12" s="4" t="s">
        <v>46</v>
      </c>
      <c r="B12" s="5" t="s">
        <v>47</v>
      </c>
      <c r="C12" s="5" t="s">
        <v>42</v>
      </c>
      <c r="D12" s="6" t="s">
        <v>48</v>
      </c>
      <c r="E12" s="6" t="s">
        <v>49</v>
      </c>
      <c r="F12" s="7" t="s">
        <v>15</v>
      </c>
      <c r="G12" s="5" t="s">
        <v>45</v>
      </c>
      <c r="H12" s="5" t="s">
        <v>17</v>
      </c>
    </row>
    <row r="13" customFormat="false" ht="35.05" hidden="false" customHeight="false" outlineLevel="0" collapsed="false">
      <c r="A13" s="4" t="s">
        <v>50</v>
      </c>
      <c r="B13" s="5" t="s">
        <v>51</v>
      </c>
      <c r="C13" s="5" t="s">
        <v>42</v>
      </c>
      <c r="D13" s="6" t="s">
        <v>52</v>
      </c>
      <c r="E13" s="6" t="s">
        <v>53</v>
      </c>
      <c r="F13" s="7" t="s">
        <v>15</v>
      </c>
      <c r="G13" s="5" t="s">
        <v>54</v>
      </c>
      <c r="H13" s="5" t="s">
        <v>17</v>
      </c>
    </row>
    <row r="14" customFormat="false" ht="35.05" hidden="false" customHeight="false" outlineLevel="0" collapsed="false">
      <c r="A14" s="4" t="s">
        <v>55</v>
      </c>
      <c r="B14" s="5" t="s">
        <v>56</v>
      </c>
      <c r="C14" s="5" t="s">
        <v>42</v>
      </c>
      <c r="D14" s="6" t="s">
        <v>57</v>
      </c>
      <c r="E14" s="6" t="s">
        <v>58</v>
      </c>
      <c r="F14" s="8" t="s">
        <v>30</v>
      </c>
      <c r="G14" s="5" t="s">
        <v>54</v>
      </c>
      <c r="H14" s="5" t="s">
        <v>17</v>
      </c>
    </row>
    <row r="15" customFormat="false" ht="23.85" hidden="false" customHeight="false" outlineLevel="0" collapsed="false">
      <c r="A15" s="4" t="s">
        <v>59</v>
      </c>
      <c r="B15" s="5" t="s">
        <v>60</v>
      </c>
      <c r="C15" s="5" t="s">
        <v>42</v>
      </c>
      <c r="D15" s="6" t="s">
        <v>61</v>
      </c>
      <c r="E15" s="6" t="s">
        <v>62</v>
      </c>
      <c r="F15" s="8" t="s">
        <v>30</v>
      </c>
      <c r="G15" s="5" t="s">
        <v>54</v>
      </c>
      <c r="H15" s="5" t="s">
        <v>17</v>
      </c>
    </row>
    <row r="16" customFormat="false" ht="35.05" hidden="false" customHeight="false" outlineLevel="0" collapsed="false">
      <c r="A16" s="4" t="s">
        <v>63</v>
      </c>
      <c r="B16" s="5" t="s">
        <v>64</v>
      </c>
      <c r="C16" s="5" t="s">
        <v>42</v>
      </c>
      <c r="D16" s="6" t="s">
        <v>65</v>
      </c>
      <c r="E16" s="6" t="s">
        <v>66</v>
      </c>
      <c r="F16" s="7" t="s">
        <v>15</v>
      </c>
      <c r="G16" s="5" t="s">
        <v>54</v>
      </c>
      <c r="H16" s="5" t="s">
        <v>17</v>
      </c>
    </row>
    <row r="17" customFormat="false" ht="35.05" hidden="false" customHeight="false" outlineLevel="0" collapsed="false">
      <c r="A17" s="4" t="s">
        <v>67</v>
      </c>
      <c r="B17" s="5" t="s">
        <v>68</v>
      </c>
      <c r="C17" s="5" t="s">
        <v>42</v>
      </c>
      <c r="D17" s="6" t="s">
        <v>69</v>
      </c>
      <c r="E17" s="6" t="s">
        <v>70</v>
      </c>
      <c r="F17" s="9" t="s">
        <v>71</v>
      </c>
      <c r="G17" s="5" t="s">
        <v>54</v>
      </c>
      <c r="H17" s="5" t="s">
        <v>17</v>
      </c>
    </row>
    <row r="18" customFormat="false" ht="35.05" hidden="false" customHeight="false" outlineLevel="0" collapsed="false">
      <c r="A18" s="4" t="s">
        <v>72</v>
      </c>
      <c r="B18" s="5" t="s">
        <v>73</v>
      </c>
      <c r="C18" s="5" t="s">
        <v>74</v>
      </c>
      <c r="D18" s="6" t="s">
        <v>75</v>
      </c>
      <c r="E18" s="6" t="s">
        <v>76</v>
      </c>
      <c r="F18" s="8" t="s">
        <v>30</v>
      </c>
      <c r="G18" s="5" t="s">
        <v>77</v>
      </c>
      <c r="H18" s="5" t="s">
        <v>17</v>
      </c>
    </row>
    <row r="19" customFormat="false" ht="35.05" hidden="false" customHeight="false" outlineLevel="0" collapsed="false">
      <c r="A19" s="4" t="s">
        <v>78</v>
      </c>
      <c r="B19" s="5" t="s">
        <v>79</v>
      </c>
      <c r="C19" s="5" t="s">
        <v>74</v>
      </c>
      <c r="D19" s="6" t="s">
        <v>80</v>
      </c>
      <c r="E19" s="6" t="s">
        <v>81</v>
      </c>
      <c r="F19" s="9" t="s">
        <v>71</v>
      </c>
      <c r="G19" s="5" t="s">
        <v>77</v>
      </c>
      <c r="H19" s="5" t="s">
        <v>17</v>
      </c>
    </row>
    <row r="20" customFormat="false" ht="35.05" hidden="false" customHeight="false" outlineLevel="0" collapsed="false">
      <c r="A20" s="4" t="s">
        <v>82</v>
      </c>
      <c r="B20" s="5" t="s">
        <v>83</v>
      </c>
      <c r="C20" s="5" t="s">
        <v>84</v>
      </c>
      <c r="D20" s="6" t="s">
        <v>85</v>
      </c>
      <c r="E20" s="6" t="s">
        <v>86</v>
      </c>
      <c r="F20" s="7" t="s">
        <v>15</v>
      </c>
      <c r="G20" s="5" t="s">
        <v>77</v>
      </c>
      <c r="H20" s="5" t="s">
        <v>17</v>
      </c>
    </row>
    <row r="21" customFormat="false" ht="35.05" hidden="false" customHeight="false" outlineLevel="0" collapsed="false">
      <c r="A21" s="4" t="s">
        <v>87</v>
      </c>
      <c r="B21" s="5" t="s">
        <v>88</v>
      </c>
      <c r="C21" s="5" t="s">
        <v>84</v>
      </c>
      <c r="D21" s="6" t="s">
        <v>89</v>
      </c>
      <c r="E21" s="6" t="s">
        <v>90</v>
      </c>
      <c r="F21" s="7" t="s">
        <v>15</v>
      </c>
      <c r="G21" s="5" t="s">
        <v>77</v>
      </c>
      <c r="H21" s="5" t="s">
        <v>17</v>
      </c>
    </row>
    <row r="22" customFormat="false" ht="35.05" hidden="false" customHeight="false" outlineLevel="0" collapsed="false">
      <c r="A22" s="4" t="s">
        <v>91</v>
      </c>
      <c r="B22" s="5" t="s">
        <v>92</v>
      </c>
      <c r="C22" s="5" t="s">
        <v>93</v>
      </c>
      <c r="D22" s="6" t="s">
        <v>94</v>
      </c>
      <c r="E22" s="6" t="s">
        <v>95</v>
      </c>
      <c r="F22" s="8" t="s">
        <v>30</v>
      </c>
      <c r="G22" s="5" t="s">
        <v>96</v>
      </c>
      <c r="H22" s="5" t="s">
        <v>17</v>
      </c>
    </row>
    <row r="23" customFormat="false" ht="23.85" hidden="false" customHeight="false" outlineLevel="0" collapsed="false">
      <c r="A23" s="4" t="s">
        <v>97</v>
      </c>
      <c r="B23" s="5" t="s">
        <v>98</v>
      </c>
      <c r="C23" s="5" t="s">
        <v>93</v>
      </c>
      <c r="D23" s="6" t="s">
        <v>99</v>
      </c>
      <c r="E23" s="6" t="s">
        <v>100</v>
      </c>
      <c r="F23" s="7" t="s">
        <v>15</v>
      </c>
      <c r="G23" s="5" t="s">
        <v>96</v>
      </c>
      <c r="H23" s="5" t="s">
        <v>17</v>
      </c>
    </row>
    <row r="24" customFormat="false" ht="35.05" hidden="false" customHeight="false" outlineLevel="0" collapsed="false">
      <c r="A24" s="4" t="s">
        <v>101</v>
      </c>
      <c r="B24" s="5" t="s">
        <v>102</v>
      </c>
      <c r="C24" s="5" t="s">
        <v>93</v>
      </c>
      <c r="D24" s="6" t="s">
        <v>103</v>
      </c>
      <c r="E24" s="6" t="s">
        <v>104</v>
      </c>
      <c r="F24" s="7" t="s">
        <v>15</v>
      </c>
      <c r="G24" s="5" t="s">
        <v>96</v>
      </c>
      <c r="H24" s="5" t="s">
        <v>17</v>
      </c>
    </row>
    <row r="25" customFormat="false" ht="35.05" hidden="false" customHeight="false" outlineLevel="0" collapsed="false">
      <c r="A25" s="4" t="s">
        <v>105</v>
      </c>
      <c r="B25" s="5" t="s">
        <v>106</v>
      </c>
      <c r="C25" s="5" t="s">
        <v>93</v>
      </c>
      <c r="D25" s="6" t="s">
        <v>107</v>
      </c>
      <c r="E25" s="6" t="s">
        <v>108</v>
      </c>
      <c r="F25" s="7" t="s">
        <v>15</v>
      </c>
      <c r="G25" s="5" t="s">
        <v>96</v>
      </c>
      <c r="H25" s="5" t="s">
        <v>17</v>
      </c>
    </row>
    <row r="26" customFormat="false" ht="23.85" hidden="false" customHeight="false" outlineLevel="0" collapsed="false">
      <c r="A26" s="4" t="s">
        <v>109</v>
      </c>
      <c r="B26" s="5" t="s">
        <v>110</v>
      </c>
      <c r="C26" s="5" t="s">
        <v>93</v>
      </c>
      <c r="D26" s="6" t="s">
        <v>111</v>
      </c>
      <c r="E26" s="6" t="s">
        <v>112</v>
      </c>
      <c r="F26" s="8" t="s">
        <v>30</v>
      </c>
      <c r="G26" s="5" t="s">
        <v>96</v>
      </c>
      <c r="H26" s="5" t="s">
        <v>17</v>
      </c>
    </row>
    <row r="27" customFormat="false" ht="35.05" hidden="false" customHeight="false" outlineLevel="0" collapsed="false">
      <c r="A27" s="4" t="s">
        <v>113</v>
      </c>
      <c r="B27" s="5" t="s">
        <v>114</v>
      </c>
      <c r="C27" s="5" t="s">
        <v>93</v>
      </c>
      <c r="D27" s="6" t="s">
        <v>115</v>
      </c>
      <c r="E27" s="6" t="s">
        <v>116</v>
      </c>
      <c r="F27" s="8" t="s">
        <v>30</v>
      </c>
      <c r="G27" s="5" t="s">
        <v>96</v>
      </c>
      <c r="H27" s="5" t="s">
        <v>17</v>
      </c>
    </row>
    <row r="28" customFormat="false" ht="46.25" hidden="false" customHeight="false" outlineLevel="0" collapsed="false">
      <c r="A28" s="4" t="s">
        <v>117</v>
      </c>
      <c r="B28" s="5" t="s">
        <v>118</v>
      </c>
      <c r="C28" s="5" t="s">
        <v>37</v>
      </c>
      <c r="D28" s="6" t="s">
        <v>119</v>
      </c>
      <c r="E28" s="6" t="s">
        <v>120</v>
      </c>
      <c r="F28" s="9" t="s">
        <v>71</v>
      </c>
      <c r="G28" s="5" t="s">
        <v>121</v>
      </c>
      <c r="H28" s="5" t="s">
        <v>17</v>
      </c>
    </row>
  </sheetData>
  <mergeCells count="2">
    <mergeCell ref="A1:H1"/>
    <mergeCell ref="A2:H2"/>
  </mergeCells>
  <dataValidations count="2">
    <dataValidation allowBlank="false" errorStyle="stop" operator="between" showDropDown="false" showErrorMessage="false" showInputMessage="false" sqref="H5:H28" type="list">
      <formula1>"Por hacer,En progreso,En revisión,Hecho"</formula1>
      <formula2>0</formula2>
    </dataValidation>
    <dataValidation allowBlank="false" errorStyle="stop" operator="between" showDropDown="false" showErrorMessage="false" showInputMessage="false" sqref="F5:F28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122</v>
      </c>
      <c r="B1" s="1"/>
      <c r="C1" s="1"/>
    </row>
    <row r="3" customFormat="false" ht="15" hidden="false" customHeight="false" outlineLevel="0" collapsed="false">
      <c r="A3" s="10" t="s">
        <v>123</v>
      </c>
    </row>
    <row r="4" customFormat="false" ht="15" hidden="false" customHeight="false" outlineLevel="0" collapsed="false">
      <c r="A4" s="11" t="s">
        <v>124</v>
      </c>
      <c r="B4" s="11" t="s">
        <v>125</v>
      </c>
    </row>
    <row r="5" customFormat="false" ht="15" hidden="false" customHeight="false" outlineLevel="0" collapsed="false">
      <c r="A5" s="5" t="s">
        <v>16</v>
      </c>
      <c r="B5" s="5" t="n">
        <f aca="false">COUNTIF('Product Backlog'!G5:G28,A5)</f>
        <v>6</v>
      </c>
    </row>
    <row r="6" customFormat="false" ht="15" hidden="false" customHeight="false" outlineLevel="0" collapsed="false">
      <c r="A6" s="5" t="s">
        <v>45</v>
      </c>
      <c r="B6" s="5" t="n">
        <f aca="false">COUNTIF('Product Backlog'!G5:G28,A6)</f>
        <v>2</v>
      </c>
    </row>
    <row r="7" customFormat="false" ht="15" hidden="false" customHeight="false" outlineLevel="0" collapsed="false">
      <c r="A7" s="5" t="s">
        <v>54</v>
      </c>
      <c r="B7" s="5" t="n">
        <f aca="false">COUNTIF('Product Backlog'!G5:G28,A7)</f>
        <v>5</v>
      </c>
    </row>
    <row r="8" customFormat="false" ht="15" hidden="false" customHeight="false" outlineLevel="0" collapsed="false">
      <c r="A8" s="5" t="s">
        <v>77</v>
      </c>
      <c r="B8" s="5" t="n">
        <f aca="false">COUNTIF('Product Backlog'!G5:G28,A8)</f>
        <v>4</v>
      </c>
    </row>
    <row r="9" customFormat="false" ht="15" hidden="false" customHeight="false" outlineLevel="0" collapsed="false">
      <c r="A9" s="5" t="s">
        <v>96</v>
      </c>
      <c r="B9" s="5" t="n">
        <f aca="false">COUNTIF('Product Backlog'!G5:G28,A9)</f>
        <v>6</v>
      </c>
    </row>
    <row r="10" customFormat="false" ht="15" hidden="false" customHeight="false" outlineLevel="0" collapsed="false">
      <c r="A10" s="5" t="s">
        <v>121</v>
      </c>
      <c r="B10" s="5" t="n">
        <f aca="false">COUNTIF('Product Backlog'!G5:G28,A10)</f>
        <v>1</v>
      </c>
    </row>
    <row r="12" customFormat="false" ht="15" hidden="false" customHeight="false" outlineLevel="0" collapsed="false">
      <c r="A12" s="10" t="s">
        <v>126</v>
      </c>
    </row>
    <row r="13" customFormat="false" ht="15" hidden="false" customHeight="false" outlineLevel="0" collapsed="false">
      <c r="A13" s="11" t="s">
        <v>7</v>
      </c>
      <c r="B13" s="11" t="s">
        <v>125</v>
      </c>
    </row>
    <row r="14" customFormat="false" ht="15" hidden="false" customHeight="false" outlineLevel="0" collapsed="false">
      <c r="A14" s="5" t="s">
        <v>15</v>
      </c>
      <c r="B14" s="5" t="n">
        <f aca="false">COUNTIF('Product Backlog'!F5:F28,A14)</f>
        <v>12</v>
      </c>
    </row>
    <row r="15" customFormat="false" ht="15" hidden="false" customHeight="false" outlineLevel="0" collapsed="false">
      <c r="A15" s="5" t="s">
        <v>30</v>
      </c>
      <c r="B15" s="5" t="n">
        <f aca="false">COUNTIF('Product Backlog'!F5:F28,A15)</f>
        <v>9</v>
      </c>
    </row>
    <row r="16" customFormat="false" ht="15" hidden="false" customHeight="false" outlineLevel="0" collapsed="false">
      <c r="A16" s="5" t="s">
        <v>71</v>
      </c>
      <c r="B16" s="5" t="n">
        <f aca="false">COUNTIF('Product Backlog'!F5:F28,A16)</f>
        <v>3</v>
      </c>
    </row>
    <row r="18" customFormat="false" ht="15" hidden="false" customHeight="false" outlineLevel="0" collapsed="false">
      <c r="A18" s="10" t="s">
        <v>127</v>
      </c>
      <c r="B18" s="10" t="n">
        <f aca="false">COUNTA('Product Backlog'!A5:A28)</f>
        <v>24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2026-08-31T19:09:51Z</dcterms:created>
  <dc:creator>openpyxl</dc:creator>
  <dc:description/>
  <dc:language>en-US</dc:language>
  <cp:lastModifiedBy/>
  <dcterms:modified xsi:type="dcterms:W3CDTF">2026-08-31T19:09:51Z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