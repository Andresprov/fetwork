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razabilidad_Pantallas" sheetId="2" state="visible" r:id="rId4"/>
    <sheet name="Cobertura_CU_RF" sheetId="3" state="visible" r:id="rId5"/>
    <sheet name="Cobertura_RF" sheetId="4" state="visible" r:id="rId6"/>
    <sheet name="Hallazg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<sst xmlns="http://schemas.openxmlformats.org/spreadsheetml/2006/main" count="507" uniqueCount="290">
  <si>
    <t xml:space="preserve">FETWork V1.0 — Matriz de Trazabilidad</t>
  </si>
  <si>
    <t xml:space="preserve">Requisitos (RF) → Casos de Uso (CU) → Pantallas maquetadas (Stitch)</t>
  </si>
  <si>
    <t xml:space="preserve">Fuentes: Requerimientos_entre_otros.docx · Arquitectura_FETWork_V1.docx · 5 zips de maquetados</t>
  </si>
  <si>
    <t xml:space="preserve">Indicador</t>
  </si>
  <si>
    <t xml:space="preserve">Valor</t>
  </si>
  <si>
    <t xml:space="preserve">Total de Casos de Uso definidos (arquitectura)</t>
  </si>
  <si>
    <t xml:space="preserve">CU con pantalla(s) — Cobertura = "Sí"</t>
  </si>
  <si>
    <t xml:space="preserve">CU con cobertura parcial / inconsistencia</t>
  </si>
  <si>
    <t xml:space="preserve">CU sin pantalla dedicada</t>
  </si>
  <si>
    <t xml:space="preserve">Total de pantallas maquetadas (Stitch)</t>
  </si>
  <si>
    <t xml:space="preserve">Total RF originales (documento de requisitos)</t>
  </si>
  <si>
    <t xml:space="preserve">RF nuevos identificados en arquitectura (no redactados aún)</t>
  </si>
  <si>
    <t xml:space="preserve">RF pendiente de actualizar/obsoleto (ver Hallazgos)</t>
  </si>
  <si>
    <t xml:space="preserve">Leyenda de cobertura (hoja Cobertura_CU_RF)</t>
  </si>
  <si>
    <t xml:space="preserve">Sí</t>
  </si>
  <si>
    <t xml:space="preserve">El CU tiene una pantalla maquetada que lo implementa directamente.</t>
  </si>
  <si>
    <t xml:space="preserve">Parcial</t>
  </si>
  <si>
    <t xml:space="preserve">Existe pantalla, pero hay una inconsistencia de numeración u otro detalle a corregir.</t>
  </si>
  <si>
    <t xml:space="preserve">No</t>
  </si>
  <si>
    <t xml:space="preserve">No se encontró una pantalla dedicada a este CU en los 5 zips entregados.</t>
  </si>
  <si>
    <t xml:space="preserve">N°</t>
  </si>
  <si>
    <t xml:space="preserve">Módulo (zip)</t>
  </si>
  <si>
    <t xml:space="preserve">Pantalla maquetada</t>
  </si>
  <si>
    <t xml:space="preserve">Actor(es)</t>
  </si>
  <si>
    <t xml:space="preserve">CU cubierto(s)</t>
  </si>
  <si>
    <t xml:space="preserve">RF relacionado(s)</t>
  </si>
  <si>
    <t xml:space="preserve">Observaciones</t>
  </si>
  <si>
    <t xml:space="preserve">Autenticación</t>
  </si>
  <si>
    <t xml:space="preserve">Iniciar sesión con Q10</t>
  </si>
  <si>
    <t xml:space="preserve">Estudiante, Docente, Coordinador, Validador</t>
  </si>
  <si>
    <t xml:space="preserve">CU-01, CU-20, CU-23, CU-26</t>
  </si>
  <si>
    <t xml:space="preserve">RF-03 (modificado)</t>
  </si>
  <si>
    <t xml:space="preserve">SSO federado único para los 4 roles institucionales.</t>
  </si>
  <si>
    <t xml:space="preserve">Cuenta pendiente de aprobación (empresas)</t>
  </si>
  <si>
    <t xml:space="preserve">Empresa</t>
  </si>
  <si>
    <t xml:space="preserve">Apoya CU-11 / CU-27</t>
  </si>
  <si>
    <t xml:space="preserve">RF-02, RF-27 (nuevo)</t>
  </si>
  <si>
    <t xml:space="preserve">Pantalla de estado intermedio; no es un CU propio en la tabla de arquitectura.</t>
  </si>
  <si>
    <t xml:space="preserve">Transición y error de autenticación Q10</t>
  </si>
  <si>
    <t xml:space="preserve">Todos (vía Q10)</t>
  </si>
  <si>
    <t xml:space="preserve">Apoya CU-01/20/23/26</t>
  </si>
  <si>
    <t xml:space="preserve">— (RNF de manejo de errores)</t>
  </si>
  <si>
    <t xml:space="preserve">Pantalla de manejo de error/latencia del SSO; no corresponde a un RF funcional específico.</t>
  </si>
  <si>
    <t xml:space="preserve">Inicio de sesión empresa</t>
  </si>
  <si>
    <t xml:space="preserve">CU-12, CU-13</t>
  </si>
  <si>
    <t xml:space="preserve">RF-03, RF-05</t>
  </si>
  <si>
    <t xml:space="preserve">Registro de empresa aliada</t>
  </si>
  <si>
    <t xml:space="preserve">CU-11</t>
  </si>
  <si>
    <t xml:space="preserve">RF-02</t>
  </si>
  <si>
    <t xml:space="preserve">Cuenta rechazada / recuperar contraseña empresa</t>
  </si>
  <si>
    <t xml:space="preserve">Empresa, Validador</t>
  </si>
  <si>
    <t xml:space="preserve">CU-13, CU-27</t>
  </si>
  <si>
    <t xml:space="preserve">RF-05, RF-27 (nuevo)</t>
  </si>
  <si>
    <t xml:space="preserve">Empresas</t>
  </si>
  <si>
    <t xml:space="preserve">Perfil corporativo de empresa aliada</t>
  </si>
  <si>
    <t xml:space="preserve">CU-14</t>
  </si>
  <si>
    <t xml:space="preserve">RF-17</t>
  </si>
  <si>
    <t xml:space="preserve">Buscador de talento y estudiantes</t>
  </si>
  <si>
    <t xml:space="preserve">CU-15</t>
  </si>
  <si>
    <t xml:space="preserve">RF-18, RF-19</t>
  </si>
  <si>
    <t xml:space="preserve">Incluye botones "Ver Perfil"/"Hoja de Vida" que remiten a CU-16/CU-17, pero sin pantalla propia (ver Hallazgos).</t>
  </si>
  <si>
    <t xml:space="preserve">Publicar nueva vacante o pasantía</t>
  </si>
  <si>
    <t xml:space="preserve">CU-18*</t>
  </si>
  <si>
    <t xml:space="preserve">RF-29 (nuevo)</t>
  </si>
  <si>
    <t xml:space="preserve">⚠️ Carpeta nombrada 'cu_19' en el zip; según la tabla de arquitectura corresponde a CU-18 (ver Hallazgos).</t>
  </si>
  <si>
    <t xml:space="preserve">Gestión de vacantes publicadas</t>
  </si>
  <si>
    <t xml:space="preserve">CU-19*</t>
  </si>
  <si>
    <t xml:space="preserve">⚠️ Carpeta nombrada 'cu_18' en el zip; según la tabla de arquitectura corresponde a CU-19 (ver Hallazgos).</t>
  </si>
  <si>
    <t xml:space="preserve">Docentes</t>
  </si>
  <si>
    <t xml:space="preserve">Revisión y dictamen de expediente</t>
  </si>
  <si>
    <t xml:space="preserve">Docente auditor</t>
  </si>
  <si>
    <t xml:space="preserve">CU-22</t>
  </si>
  <si>
    <t xml:space="preserve">RF-25 (nuevo)</t>
  </si>
  <si>
    <t xml:space="preserve">Auditoría de expedientes estudiantiles</t>
  </si>
  <si>
    <t xml:space="preserve">CU-21</t>
  </si>
  <si>
    <t xml:space="preserve">Tabla se ve recortada en el borde derecho (columna de acciones); revisar overflow.</t>
  </si>
  <si>
    <t xml:space="preserve">Asignación de docentes y categorías de práctica</t>
  </si>
  <si>
    <t xml:space="preserve">Coordinador de Prácticas</t>
  </si>
  <si>
    <t xml:space="preserve">CU-24, CU-25</t>
  </si>
  <si>
    <t xml:space="preserve">RF-26 (nuevo), RF-24</t>
  </si>
  <si>
    <t xml:space="preserve">Validación y aprobación de empresas aliadas</t>
  </si>
  <si>
    <t xml:space="preserve">Validador de Empresas</t>
  </si>
  <si>
    <t xml:space="preserve">CU-27, CU-28</t>
  </si>
  <si>
    <t xml:space="preserve">RF-27 (nuevo), RF-23 (modificado)</t>
  </si>
  <si>
    <t xml:space="preserve">Módulo Estudiante</t>
  </si>
  <si>
    <t xml:space="preserve">Hoja de vida PA-GTH-F-10 (formulario multi-paso)</t>
  </si>
  <si>
    <t xml:space="preserve">Estudiante</t>
  </si>
  <si>
    <t xml:space="preserve">CU-08</t>
  </si>
  <si>
    <t xml:space="preserve">RF-14 (ampliado)</t>
  </si>
  <si>
    <t xml:space="preserve">Formulario de proyecto / vinculación GitHub</t>
  </si>
  <si>
    <t xml:space="preserve">CU-04, CU-05</t>
  </si>
  <si>
    <t xml:space="preserve">RF-11, RF-13, RF-12</t>
  </si>
  <si>
    <t xml:space="preserve">Certificaciones y cursos</t>
  </si>
  <si>
    <t xml:space="preserve">CU-03</t>
  </si>
  <si>
    <t xml:space="preserve">RF-10</t>
  </si>
  <si>
    <t xml:space="preserve">Componente específico de certificaciones dentro de CU-03.</t>
  </si>
  <si>
    <t xml:space="preserve">Portafolio de proyectos</t>
  </si>
  <si>
    <t xml:space="preserve">CU-04</t>
  </si>
  <si>
    <t xml:space="preserve">RF-11, RF-13</t>
  </si>
  <si>
    <t xml:space="preserve">Explorar vacantes y pasantías (vista estudiante)</t>
  </si>
  <si>
    <t xml:space="preserve">CU-10</t>
  </si>
  <si>
    <t xml:space="preserve">RF-28 (nuevo)</t>
  </si>
  <si>
    <t xml:space="preserve">Vista previa del perfil público</t>
  </si>
  <si>
    <t xml:space="preserve">CU-07</t>
  </si>
  <si>
    <t xml:space="preserve">RF-15</t>
  </si>
  <si>
    <t xml:space="preserve">Podría reutilizarse como vista de empresa para cubrir CU-16 (ver Hallazgos).</t>
  </si>
  <si>
    <t xml:space="preserve">Configuración de visibilidad y privacidad</t>
  </si>
  <si>
    <t xml:space="preserve">CU-06</t>
  </si>
  <si>
    <t xml:space="preserve">RF-16</t>
  </si>
  <si>
    <t xml:space="preserve">Experiencia laboral y prácticas</t>
  </si>
  <si>
    <t xml:space="preserve">RF-09</t>
  </si>
  <si>
    <t xml:space="preserve">Componente específico de experiencia dentro de CU-03.</t>
  </si>
  <si>
    <t xml:space="preserve">Exportar hoja de vida oficial PA-GTH-F-10</t>
  </si>
  <si>
    <t xml:space="preserve">CU-09</t>
  </si>
  <si>
    <t xml:space="preserve">Dashboard del estudiante</t>
  </si>
  <si>
    <t xml:space="preserve">Transversal</t>
  </si>
  <si>
    <t xml:space="preserve">RF-06 (apoyo)</t>
  </si>
  <si>
    <t xml:space="preserve">Pantalla de inicio/navegación; no corresponde a un CU único.</t>
  </si>
  <si>
    <t xml:space="preserve">Gestión de habilidades por categoría</t>
  </si>
  <si>
    <t xml:space="preserve">RF-08</t>
  </si>
  <si>
    <t xml:space="preserve">Componente específico de habilidades dentro de CU-03.</t>
  </si>
  <si>
    <t xml:space="preserve">Datos personales y académicos</t>
  </si>
  <si>
    <t xml:space="preserve">CU-02</t>
  </si>
  <si>
    <t xml:space="preserve">RF-06, RF-07</t>
  </si>
  <si>
    <t xml:space="preserve">CU</t>
  </si>
  <si>
    <t xml:space="preserve">Actor</t>
  </si>
  <si>
    <t xml:space="preserve">Caso de uso</t>
  </si>
  <si>
    <t xml:space="preserve">RF relacionado</t>
  </si>
  <si>
    <t xml:space="preserve">Pantalla(s) que lo implementan</t>
  </si>
  <si>
    <t xml:space="preserve">Cobertura</t>
  </si>
  <si>
    <t xml:space="preserve">Observación</t>
  </si>
  <si>
    <t xml:space="preserve">CU-01</t>
  </si>
  <si>
    <t xml:space="preserve">Iniciar sesión (vía Q10)</t>
  </si>
  <si>
    <t xml:space="preserve">Gestionar perfil profesional</t>
  </si>
  <si>
    <t xml:space="preserve">Gestionar habilidades, experiencia y certificaciones</t>
  </si>
  <si>
    <t xml:space="preserve">RF-08, RF-09, RF-10</t>
  </si>
  <si>
    <t xml:space="preserve">Gestión de habilidades por categoría; Experiencia laboral y prácticas; Certificaciones y cursos</t>
  </si>
  <si>
    <t xml:space="preserve">3 pantallas separadas cubren los 3 componentes del CU.</t>
  </si>
  <si>
    <t xml:space="preserve">Gestionar proyectos y portafolio</t>
  </si>
  <si>
    <t xml:space="preserve">Portafolio de proyectos; Formulario de proyecto/vinculación GitHub</t>
  </si>
  <si>
    <t xml:space="preserve">CU-05</t>
  </si>
  <si>
    <t xml:space="preserve">Vincular GitHub</t>
  </si>
  <si>
    <t xml:space="preserve">RF-12</t>
  </si>
  <si>
    <t xml:space="preserve">Comparte pantalla con CU-04.</t>
  </si>
  <si>
    <t xml:space="preserve">Configurar visibilidad del perfil público</t>
  </si>
  <si>
    <t xml:space="preserve">Consultar vista pública de su perfil</t>
  </si>
  <si>
    <t xml:space="preserve">Diligenciar hoja de vida institucional</t>
  </si>
  <si>
    <t xml:space="preserve">Exportar hoja de vida en formato institucional</t>
  </si>
  <si>
    <t xml:space="preserve">Explorar y buscar vacantes</t>
  </si>
  <si>
    <t xml:space="preserve">Registrarse</t>
  </si>
  <si>
    <t xml:space="preserve">CU-12</t>
  </si>
  <si>
    <t xml:space="preserve">Iniciar sesión</t>
  </si>
  <si>
    <t xml:space="preserve">RF-03</t>
  </si>
  <si>
    <t xml:space="preserve">CU-13</t>
  </si>
  <si>
    <t xml:space="preserve">Recuperar contraseña</t>
  </si>
  <si>
    <t xml:space="preserve">RF-05</t>
  </si>
  <si>
    <t xml:space="preserve">Inicio de sesión empresa; Cuenta rechazada/recuperar contraseña empresa</t>
  </si>
  <si>
    <t xml:space="preserve">Gestionar perfil empresarial</t>
  </si>
  <si>
    <t xml:space="preserve">Buscar y filtrar estudiantes</t>
  </si>
  <si>
    <t xml:space="preserve">CU-16</t>
  </si>
  <si>
    <t xml:space="preserve">Consultar perfil público de un estudiante</t>
  </si>
  <si>
    <t xml:space="preserve">RF-20</t>
  </si>
  <si>
    <t xml:space="preserve">— (no hay pantalla dedicada)</t>
  </si>
  <si>
    <t xml:space="preserve">El botón "Ver Perfil" del buscador de talento sugiere reutilizar la vista pública del estudiante (CU-07), pero falta maquetar esa vista desde el rol Empresa.</t>
  </si>
  <si>
    <t xml:space="preserve">CU-17</t>
  </si>
  <si>
    <t xml:space="preserve">Consultar proyectos y enlaces profesionales</t>
  </si>
  <si>
    <t xml:space="preserve">RF-21, RF-22</t>
  </si>
  <si>
    <t xml:space="preserve">Mismo caso que CU-16: no se entregó mockup propio para este CU.</t>
  </si>
  <si>
    <t xml:space="preserve">CU-18</t>
  </si>
  <si>
    <t xml:space="preserve">Publicar vacante</t>
  </si>
  <si>
    <t xml:space="preserve">⚠️ La carpeta del zip está nombrada 'cu_19'; corregir el nombre de archivo a CU-18 para que coincida con la arquitectura.</t>
  </si>
  <si>
    <t xml:space="preserve">CU-19</t>
  </si>
  <si>
    <t xml:space="preserve">Gestionar mis vacantes publicadas</t>
  </si>
  <si>
    <t xml:space="preserve">⚠️ La carpeta del zip está nombrada 'cu_18'; corregir el nombre de archivo a CU-19.</t>
  </si>
  <si>
    <t xml:space="preserve">CU-20</t>
  </si>
  <si>
    <t xml:space="preserve">Docente</t>
  </si>
  <si>
    <t xml:space="preserve">Consultar estudiantes asignados</t>
  </si>
  <si>
    <t xml:space="preserve">Consultar perfil y progreso del estudiante auditado</t>
  </si>
  <si>
    <t xml:space="preserve">CU-23</t>
  </si>
  <si>
    <t xml:space="preserve">CU-24</t>
  </si>
  <si>
    <t xml:space="preserve">Asignar docente auditor a estudiante</t>
  </si>
  <si>
    <t xml:space="preserve">RF-26 (nuevo)</t>
  </si>
  <si>
    <t xml:space="preserve">CU-25</t>
  </si>
  <si>
    <t xml:space="preserve">Gestionar categorías de habilidades</t>
  </si>
  <si>
    <t xml:space="preserve">RF-24</t>
  </si>
  <si>
    <t xml:space="preserve">Comparte pantalla con CU-24.</t>
  </si>
  <si>
    <t xml:space="preserve">CU-26</t>
  </si>
  <si>
    <t xml:space="preserve">CU-27</t>
  </si>
  <si>
    <t xml:space="preserve">Validar registro de empresas</t>
  </si>
  <si>
    <t xml:space="preserve">RF-27 (nuevo)</t>
  </si>
  <si>
    <t xml:space="preserve">Validación y aprobación de empresas aliadas; Cuenta rechazada/recuperar contraseña empresa</t>
  </si>
  <si>
    <t xml:space="preserve">CU-28</t>
  </si>
  <si>
    <t xml:space="preserve">Gestionar cuentas de empresas</t>
  </si>
  <si>
    <t xml:space="preserve">RF-23 (modificado)</t>
  </si>
  <si>
    <t xml:space="preserve">RF</t>
  </si>
  <si>
    <t xml:space="preserve">Descripción (documento de requisitos)</t>
  </si>
  <si>
    <t xml:space="preserve">CU que lo implementa(n)</t>
  </si>
  <si>
    <t xml:space="preserve">Estado</t>
  </si>
  <si>
    <t xml:space="preserve">RF-01</t>
  </si>
  <si>
    <t xml:space="preserve">Registro de estudiante</t>
  </si>
  <si>
    <t xml:space="preserve">— (reemplazado por CU-01)</t>
  </si>
  <si>
    <t xml:space="preserve">Obsoleto</t>
  </si>
  <si>
    <t xml:space="preserve">Los estudiantes ya no se registran manualmente: autentican vía SSO Q10 (CU-01). Pendiente actualizar el documento de requisitos, tal como lo señala la propia Arquitectura_FETWork_V1.docx.</t>
  </si>
  <si>
    <t xml:space="preserve">Registro de empresa</t>
  </si>
  <si>
    <t xml:space="preserve">Vigente</t>
  </si>
  <si>
    <t xml:space="preserve">Inicio de sesión</t>
  </si>
  <si>
    <t xml:space="preserve">CU-01, CU-12, CU-20, CU-23, CU-26</t>
  </si>
  <si>
    <t xml:space="preserve">Modificado</t>
  </si>
  <si>
    <t xml:space="preserve">Ampliado para cubrir SSO Q10 (estudiante/docente/coordinador/validador) + login propio de empresa.</t>
  </si>
  <si>
    <t xml:space="preserve">RF-04</t>
  </si>
  <si>
    <t xml:space="preserve">Cierre de sesión</t>
  </si>
  <si>
    <t xml:space="preserve">Transversal (no requiere pantalla propia)</t>
  </si>
  <si>
    <t xml:space="preserve">Recuperación de contraseña</t>
  </si>
  <si>
    <t xml:space="preserve">Solo aplica a Empresa; los demás roles recuperan acceso vía Q10.</t>
  </si>
  <si>
    <t xml:space="preserve">RF-06</t>
  </si>
  <si>
    <t xml:space="preserve">Gestión del perfil del estudiante</t>
  </si>
  <si>
    <t xml:space="preserve">RF-07</t>
  </si>
  <si>
    <t xml:space="preserve">Información académica</t>
  </si>
  <si>
    <t xml:space="preserve">Gestión de habilidades</t>
  </si>
  <si>
    <t xml:space="preserve">Gestión de experiencia</t>
  </si>
  <si>
    <t xml:space="preserve">Gestión de certificaciones</t>
  </si>
  <si>
    <t xml:space="preserve">RF-11</t>
  </si>
  <si>
    <t xml:space="preserve">Gestión de proyectos</t>
  </si>
  <si>
    <t xml:space="preserve">Integración o enlace con GitHub</t>
  </si>
  <si>
    <t xml:space="preserve">RF-13</t>
  </si>
  <si>
    <t xml:space="preserve">Gestión de portafolio</t>
  </si>
  <si>
    <t xml:space="preserve">RF-14</t>
  </si>
  <si>
    <t xml:space="preserve">Gestión de hoja de vida</t>
  </si>
  <si>
    <t xml:space="preserve">CU-08, CU-09</t>
  </si>
  <si>
    <t xml:space="preserve">Ampliado</t>
  </si>
  <si>
    <t xml:space="preserve">Ampliado al formato institucional PA-GTH-F-10 (diligenciar + exportar).</t>
  </si>
  <si>
    <t xml:space="preserve">Perfil público</t>
  </si>
  <si>
    <t xml:space="preserve">Control de información pública</t>
  </si>
  <si>
    <t xml:space="preserve">Gestión del perfil empresarial</t>
  </si>
  <si>
    <t xml:space="preserve">RF-18</t>
  </si>
  <si>
    <t xml:space="preserve">Búsqueda de estudiantes</t>
  </si>
  <si>
    <t xml:space="preserve">RF-19</t>
  </si>
  <si>
    <t xml:space="preserve">Filtrado de estudiantes</t>
  </si>
  <si>
    <t xml:space="preserve">Consulta de perfiles</t>
  </si>
  <si>
    <t xml:space="preserve">Sin pantalla</t>
  </si>
  <si>
    <t xml:space="preserve">CU-16 no tiene mockup dedicado (ver hoja Cobertura_CU_RF).</t>
  </si>
  <si>
    <t xml:space="preserve">RF-21</t>
  </si>
  <si>
    <t xml:space="preserve">Consulta de proyectos</t>
  </si>
  <si>
    <t xml:space="preserve">CU-17 no tiene mockup dedicado (ver hoja Cobertura_CU_RF).</t>
  </si>
  <si>
    <t xml:space="preserve">RF-22</t>
  </si>
  <si>
    <t xml:space="preserve">Consulta de enlaces profesionales</t>
  </si>
  <si>
    <t xml:space="preserve">RF-23</t>
  </si>
  <si>
    <t xml:space="preserve">Administración de usuarios</t>
  </si>
  <si>
    <t xml:space="preserve">Acotado a gestión de cuentas de empresas por el Validador.</t>
  </si>
  <si>
    <t xml:space="preserve">Gestión de información general</t>
  </si>
  <si>
    <t xml:space="preserve">Acotado a categorías de habilidades.</t>
  </si>
  <si>
    <t xml:space="preserve">RF-25</t>
  </si>
  <si>
    <t xml:space="preserve">(nuevo) Auditoría docente de expedientes estudiantiles</t>
  </si>
  <si>
    <t xml:space="preserve">CU-21, CU-22</t>
  </si>
  <si>
    <t xml:space="preserve">Nuevo — falta redactar formalmente</t>
  </si>
  <si>
    <t xml:space="preserve">Referenciado en la tabla CU de arquitectura pero aún no tiene texto formal en Requerimientos_entre_otros.docx.</t>
  </si>
  <si>
    <t xml:space="preserve">RF-26</t>
  </si>
  <si>
    <t xml:space="preserve">(nuevo) Asignación de docente auditor a estudiante</t>
  </si>
  <si>
    <t xml:space="preserve">RF-27</t>
  </si>
  <si>
    <t xml:space="preserve">(nuevo) Validación de registro de empresas</t>
  </si>
  <si>
    <t xml:space="preserve">RF-28</t>
  </si>
  <si>
    <t xml:space="preserve">(nuevo) Búsqueda y exploración de vacantes por estudiante</t>
  </si>
  <si>
    <t xml:space="preserve">RF-29</t>
  </si>
  <si>
    <t xml:space="preserve">(nuevo) Publicación y gestión de vacantes por empresa</t>
  </si>
  <si>
    <t xml:space="preserve">CU-18, CU-19</t>
  </si>
  <si>
    <t xml:space="preserve">Hallazgos de la revisión de trazabilidad</t>
  </si>
  <si>
    <t xml:space="preserve">#</t>
  </si>
  <si>
    <t xml:space="preserve">Hallazgo</t>
  </si>
  <si>
    <t xml:space="preserve">Detalle</t>
  </si>
  <si>
    <t xml:space="preserve">Recomendación</t>
  </si>
  <si>
    <t xml:space="preserve">1</t>
  </si>
  <si>
    <t xml:space="preserve">Numeración de CU invertida en los archivos de 'empresas'</t>
  </si>
  <si>
    <t xml:space="preserve">La carpeta 'publicar_nueva_vacante_o_pasantia' está etiquetada como CU-19 y 'gestion_de_vacantes_publicadas' como CU-18. Según la tabla de arquitectura (sección 8.6), es al revés: CU-18 = Publicar vacante, CU-19 = Gestionar mis vacantes publicadas.</t>
  </si>
  <si>
    <t xml:space="preserve">Renombrar las carpetas/pantallas para que coincidan con la arquitectura antes de la entrega final, o actualizar la arquitectura si el orden correcto es el de las pantallas.</t>
  </si>
  <si>
    <t xml:space="preserve">2</t>
  </si>
  <si>
    <t xml:space="preserve">CU-16 y CU-17 sin mockup dedicado</t>
  </si>
  <si>
    <t xml:space="preserve">'Consultar perfil público de un estudiante' (CU-16) y 'Consultar proyectos y enlaces profesionales' (CU-17), ambos del actor Empresa, no tienen una pantalla propia en los zips entregados. El buscador de talento (CU-15) referencia un botón 'Ver Perfil' que probablemente reutiliza la vista pública del estudiante (CU-07).</t>
  </si>
  <si>
    <t xml:space="preserve">Definir explícitamente si CU-16/CU-17 reutilizan la pantalla 'Vista previa del perfil público' del estudiante (documentarlo así en la arquitectura) o si requieren un mockup específico para el rol Empresa.</t>
  </si>
  <si>
    <t xml:space="preserve">3</t>
  </si>
  <si>
    <t xml:space="preserve">RF-25 a RF-29 no están redactados en el documento de requisitos</t>
  </si>
  <si>
    <t xml:space="preserve">La arquitectura ya los referencia (auditoría docente, asignación de auditor, validación de empresas, búsqueda y publicación de vacantes) pero Requerimientos_entre_otros.docx aún no los define formalmente. Esto ya estaba anotado como pendiente en las conclusiones de la propia arquitectura.</t>
  </si>
  <si>
    <t xml:space="preserve">Redactar los 5 RF nuevos en el formato estándar del documento de requisitos antes de considerar cerrada la fase de análisis.</t>
  </si>
  <si>
    <t xml:space="preserve">4</t>
  </si>
  <si>
    <t xml:space="preserve">RF-01 (Registro de estudiante) queda obsoleto</t>
  </si>
  <si>
    <t xml:space="preserve">Con la autenticación federada vía Q10 (CU-01), el estudiante ya no se registra manualmente en FETWork. RF-01 tal como está redactado ya no aplica.</t>
  </si>
  <si>
    <t xml:space="preserve">Marcar RF-01 como derogado/reemplazado por RF-03 (modificado) en el documento de requisitos, o reescribirlo para reflejar la sincronización automática de cuentas desde Q10.</t>
  </si>
  <si>
    <t xml:space="preserve">5</t>
  </si>
  <si>
    <t xml:space="preserve">Tabla de auditoría de expedientes (CU-21) se ve recortada</t>
  </si>
  <si>
    <t xml:space="preserve">En la captura de 'Auditoría de expedientes estudiantiles', la columna de acciones ('Auditar Expediente') queda cortada en el borde derecho de la pantalla.</t>
  </si>
  <si>
    <t xml:space="preserve">Revisar el overflow horizontal de esa tabla antes de pasar a la maquetación final / desarrollo.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</si>
</sst>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2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6F4EA"/>
        <bgColor rgb="FFFDECEA"/>
      </patternFill>
    </fill>
    <fill>
      <patternFill patternType="solid">
        <fgColor rgb="FFFFF8E1"/>
        <bgColor rgb="FFFDECEA"/>
      </patternFill>
    </fill>
    <fill>
      <patternFill patternType="solid">
        <fgColor rgb="FFFDECEA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5E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CoberturaCU" displayName="TablaCoberturaCU" ref="A1:G29" headerRowCount="1" totalsRowCount="0" totalsRowShown="0">
  <autoFilter ref="A1:G29"/>
  <tableColumns count="7">
    <tableColumn id="1" name="CU"/>
    <tableColumn id="2" name="Actor"/>
    <tableColumn id="3" name="Caso de uso"/>
    <tableColumn id="4" name="RF relacionado"/>
    <tableColumn id="5" name="Pantalla(s) que lo implementan"/>
    <tableColumn id="6" name="Cobertura"/>
    <tableColumn id="7" name="Observación"/>
  </tableColumns>
</table>
</file>

<file path=xl/tables/table2.xml><?xml version="1.0" encoding="utf-8"?>
<table xmlns="http://schemas.openxmlformats.org/spreadsheetml/2006/main" id="2" name="TablaCoberturaRF" displayName="TablaCoberturaRF" ref="A1:E30" headerRowCount="1" totalsRowCount="0" totalsRowShown="0">
  <autoFilter ref="A1:E30"/>
  <tableColumns count="5">
    <tableColumn id="1" name="RF"/>
    <tableColumn id="2" name="Descripción (documento de requisitos)"/>
    <tableColumn id="3" name="CU que lo implementa(n)"/>
    <tableColumn id="4" name="Estado"/>
    <tableColumn id="5" name="Observación"/>
  </tableColumns>
</table>
</file>

<file path=xl/tables/table3.xml><?xml version="1.0" encoding="utf-8"?>
<table xmlns="http://schemas.openxmlformats.org/spreadsheetml/2006/main" id="3" name="TablaPantallas" displayName="TablaPantallas" ref="A1:G27" headerRowCount="1" totalsRowCount="0" totalsRowShown="0">
  <autoFilter ref="A1:G27"/>
  <tableColumns count="7">
    <tableColumn id="1" name="N°"/>
    <tableColumn id="2" name="Módulo (zip)"/>
    <tableColumn id="3" name="Pantalla maquetada"/>
    <tableColumn id="4" name="Actor(es)"/>
    <tableColumn id="5" name="CU cubierto(s)"/>
    <tableColumn id="6" name="RF relacionado(s)"/>
    <tableColumn id="7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6" min="4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D6" s="3" t="s">
        <v>4</v>
      </c>
    </row>
    <row r="7" customFormat="false" ht="15" hidden="false" customHeight="false" outlineLevel="0" collapsed="false">
      <c r="B7" s="4" t="s">
        <v>5</v>
      </c>
      <c r="D7" s="5" t="n">
        <f aca="false">COUNTA(Cobertura_CU_RF!A2:A29)</f>
        <v>28</v>
      </c>
    </row>
    <row r="8" customFormat="false" ht="15" hidden="false" customHeight="false" outlineLevel="0" collapsed="false">
      <c r="B8" s="4" t="s">
        <v>6</v>
      </c>
      <c r="D8" s="5" t="n">
        <f aca="false">COUNTIF(Cobertura_CU_RF!F2:F29,"Sí")</f>
        <v>24</v>
      </c>
    </row>
    <row r="9" customFormat="false" ht="15" hidden="false" customHeight="false" outlineLevel="0" collapsed="false">
      <c r="B9" s="4" t="s">
        <v>7</v>
      </c>
      <c r="D9" s="5" t="n">
        <f aca="false">COUNTIF(Cobertura_CU_RF!F2:F29,"Parcial")</f>
        <v>2</v>
      </c>
    </row>
    <row r="10" customFormat="false" ht="15" hidden="false" customHeight="false" outlineLevel="0" collapsed="false">
      <c r="B10" s="4" t="s">
        <v>8</v>
      </c>
      <c r="D10" s="5" t="n">
        <f aca="false">COUNTIF(Cobertura_CU_RF!F2:F29,"No")</f>
        <v>2</v>
      </c>
    </row>
    <row r="11" customFormat="false" ht="15" hidden="false" customHeight="false" outlineLevel="0" collapsed="false">
      <c r="B11" s="4" t="s">
        <v>9</v>
      </c>
      <c r="D11" s="5" t="n">
        <f aca="false">COUNTA(Trazabilidad_Pantallas!A2:A27)</f>
        <v>26</v>
      </c>
    </row>
    <row r="12" customFormat="false" ht="15" hidden="false" customHeight="false" outlineLevel="0" collapsed="false">
      <c r="B12" s="4" t="s">
        <v>10</v>
      </c>
      <c r="D12" s="5" t="n">
        <v>24</v>
      </c>
    </row>
    <row r="13" customFormat="false" ht="23.85" hidden="false" customHeight="false" outlineLevel="0" collapsed="false">
      <c r="B13" s="4" t="s">
        <v>11</v>
      </c>
      <c r="D13" s="5" t="n">
        <v>5</v>
      </c>
    </row>
    <row r="14" customFormat="false" ht="15" hidden="false" customHeight="false" outlineLevel="0" collapsed="false">
      <c r="B14" s="4" t="s">
        <v>12</v>
      </c>
      <c r="D14" s="5" t="n">
        <v>1</v>
      </c>
    </row>
    <row r="16" customFormat="false" ht="15" hidden="false" customHeight="false" outlineLevel="0" collapsed="false">
      <c r="B16" s="6" t="s">
        <v>13</v>
      </c>
    </row>
    <row r="17" customFormat="false" ht="15" hidden="false" customHeight="true" outlineLevel="0" collapsed="false">
      <c r="B17" s="7" t="s">
        <v>14</v>
      </c>
      <c r="C17" s="8" t="s">
        <v>15</v>
      </c>
      <c r="D17" s="8"/>
      <c r="E17" s="8"/>
      <c r="F17" s="8"/>
    </row>
    <row r="18" customFormat="false" ht="23.85" hidden="false" customHeight="true" outlineLevel="0" collapsed="false">
      <c r="B18" s="9" t="s">
        <v>16</v>
      </c>
      <c r="C18" s="8" t="s">
        <v>17</v>
      </c>
      <c r="D18" s="8"/>
      <c r="E18" s="8"/>
      <c r="F18" s="8"/>
    </row>
    <row r="19" customFormat="false" ht="23.85" hidden="false" customHeight="true" outlineLevel="0" collapsed="false">
      <c r="B19" s="10" t="s">
        <v>18</v>
      </c>
      <c r="C19" s="8" t="s">
        <v>19</v>
      </c>
      <c r="D19" s="8"/>
      <c r="E19" s="8"/>
      <c r="F19" s="8"/>
    </row>
  </sheetData>
  <mergeCells count="3">
    <mergeCell ref="C17:F17"/>
    <mergeCell ref="C18:F18"/>
    <mergeCell ref="C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46"/>
  </cols>
  <sheetData>
    <row r="1" customFormat="false" ht="26.85" hidden="false" customHeight="false" outlineLevel="0" collapsed="false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</row>
    <row r="2" customFormat="false" ht="23.85" hidden="false" customHeight="false" outlineLevel="0" collapsed="false">
      <c r="A2" s="12" t="n">
        <v>1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</row>
    <row r="3" customFormat="false" ht="23.85" hidden="false" customHeight="false" outlineLevel="0" collapsed="false">
      <c r="A3" s="12" t="n">
        <v>2</v>
      </c>
      <c r="B3" s="4" t="s">
        <v>27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 customFormat="false" ht="23.85" hidden="false" customHeight="false" outlineLevel="0" collapsed="false">
      <c r="A4" s="12" t="n">
        <v>3</v>
      </c>
      <c r="B4" s="4" t="s">
        <v>27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</row>
    <row r="5" customFormat="false" ht="15" hidden="false" customHeight="false" outlineLevel="0" collapsed="false">
      <c r="A5" s="12" t="n">
        <v>4</v>
      </c>
      <c r="B5" s="4" t="s">
        <v>27</v>
      </c>
      <c r="C5" s="4" t="s">
        <v>43</v>
      </c>
      <c r="D5" s="4" t="s">
        <v>34</v>
      </c>
      <c r="E5" s="4" t="s">
        <v>44</v>
      </c>
      <c r="F5" s="4" t="s">
        <v>45</v>
      </c>
      <c r="G5" s="4"/>
    </row>
    <row r="6" customFormat="false" ht="15" hidden="false" customHeight="false" outlineLevel="0" collapsed="false">
      <c r="A6" s="12" t="n">
        <v>5</v>
      </c>
      <c r="B6" s="4" t="s">
        <v>27</v>
      </c>
      <c r="C6" s="4" t="s">
        <v>46</v>
      </c>
      <c r="D6" s="4" t="s">
        <v>34</v>
      </c>
      <c r="E6" s="4" t="s">
        <v>47</v>
      </c>
      <c r="F6" s="4" t="s">
        <v>48</v>
      </c>
      <c r="G6" s="4"/>
    </row>
    <row r="7" customFormat="false" ht="23.85" hidden="false" customHeight="false" outlineLevel="0" collapsed="false">
      <c r="A7" s="12" t="n">
        <v>6</v>
      </c>
      <c r="B7" s="4" t="s">
        <v>27</v>
      </c>
      <c r="C7" s="4" t="s">
        <v>49</v>
      </c>
      <c r="D7" s="4" t="s">
        <v>50</v>
      </c>
      <c r="E7" s="4" t="s">
        <v>51</v>
      </c>
      <c r="F7" s="4" t="s">
        <v>52</v>
      </c>
      <c r="G7" s="4"/>
    </row>
    <row r="8" customFormat="false" ht="15" hidden="false" customHeight="false" outlineLevel="0" collapsed="false">
      <c r="A8" s="12" t="n">
        <v>7</v>
      </c>
      <c r="B8" s="4" t="s">
        <v>53</v>
      </c>
      <c r="C8" s="4" t="s">
        <v>54</v>
      </c>
      <c r="D8" s="4" t="s">
        <v>34</v>
      </c>
      <c r="E8" s="4" t="s">
        <v>55</v>
      </c>
      <c r="F8" s="4" t="s">
        <v>56</v>
      </c>
      <c r="G8" s="4"/>
    </row>
    <row r="9" customFormat="false" ht="23.85" hidden="false" customHeight="false" outlineLevel="0" collapsed="false">
      <c r="A9" s="12" t="n">
        <v>8</v>
      </c>
      <c r="B9" s="4" t="s">
        <v>53</v>
      </c>
      <c r="C9" s="4" t="s">
        <v>57</v>
      </c>
      <c r="D9" s="4" t="s">
        <v>34</v>
      </c>
      <c r="E9" s="4" t="s">
        <v>58</v>
      </c>
      <c r="F9" s="4" t="s">
        <v>59</v>
      </c>
      <c r="G9" s="4" t="s">
        <v>60</v>
      </c>
    </row>
    <row r="10" customFormat="false" ht="23.85" hidden="false" customHeight="false" outlineLevel="0" collapsed="false">
      <c r="A10" s="12" t="n">
        <v>9</v>
      </c>
      <c r="B10" s="4" t="s">
        <v>53</v>
      </c>
      <c r="C10" s="4" t="s">
        <v>61</v>
      </c>
      <c r="D10" s="4" t="s">
        <v>34</v>
      </c>
      <c r="E10" s="4" t="s">
        <v>62</v>
      </c>
      <c r="F10" s="4" t="s">
        <v>63</v>
      </c>
      <c r="G10" s="4" t="s">
        <v>64</v>
      </c>
    </row>
    <row r="11" customFormat="false" ht="23.85" hidden="false" customHeight="false" outlineLevel="0" collapsed="false">
      <c r="A11" s="12" t="n">
        <v>10</v>
      </c>
      <c r="B11" s="4" t="s">
        <v>53</v>
      </c>
      <c r="C11" s="4" t="s">
        <v>65</v>
      </c>
      <c r="D11" s="4" t="s">
        <v>34</v>
      </c>
      <c r="E11" s="4" t="s">
        <v>66</v>
      </c>
      <c r="F11" s="4" t="s">
        <v>63</v>
      </c>
      <c r="G11" s="4" t="s">
        <v>67</v>
      </c>
    </row>
    <row r="12" customFormat="false" ht="15" hidden="false" customHeight="false" outlineLevel="0" collapsed="false">
      <c r="A12" s="12" t="n">
        <v>11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/>
    </row>
    <row r="13" customFormat="false" ht="23.85" hidden="false" customHeight="false" outlineLevel="0" collapsed="false">
      <c r="A13" s="12" t="n">
        <v>12</v>
      </c>
      <c r="B13" s="4" t="s">
        <v>68</v>
      </c>
      <c r="C13" s="4" t="s">
        <v>73</v>
      </c>
      <c r="D13" s="4" t="s">
        <v>70</v>
      </c>
      <c r="E13" s="4" t="s">
        <v>74</v>
      </c>
      <c r="F13" s="4" t="s">
        <v>72</v>
      </c>
      <c r="G13" s="4" t="s">
        <v>75</v>
      </c>
    </row>
    <row r="14" customFormat="false" ht="23.85" hidden="false" customHeight="false" outlineLevel="0" collapsed="false">
      <c r="A14" s="12" t="n">
        <v>13</v>
      </c>
      <c r="B14" s="4" t="s">
        <v>68</v>
      </c>
      <c r="C14" s="4" t="s">
        <v>76</v>
      </c>
      <c r="D14" s="4" t="s">
        <v>77</v>
      </c>
      <c r="E14" s="4" t="s">
        <v>78</v>
      </c>
      <c r="F14" s="4" t="s">
        <v>79</v>
      </c>
      <c r="G14" s="4"/>
    </row>
    <row r="15" customFormat="false" ht="23.85" hidden="false" customHeight="false" outlineLevel="0" collapsed="false">
      <c r="A15" s="12" t="n">
        <v>14</v>
      </c>
      <c r="B15" s="4" t="s">
        <v>68</v>
      </c>
      <c r="C15" s="4" t="s">
        <v>80</v>
      </c>
      <c r="D15" s="4" t="s">
        <v>81</v>
      </c>
      <c r="E15" s="4" t="s">
        <v>82</v>
      </c>
      <c r="F15" s="4" t="s">
        <v>83</v>
      </c>
      <c r="G15" s="4"/>
    </row>
    <row r="16" customFormat="false" ht="23.85" hidden="false" customHeight="false" outlineLevel="0" collapsed="false">
      <c r="A16" s="12" t="n">
        <v>15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4"/>
    </row>
    <row r="17" customFormat="false" ht="23.85" hidden="false" customHeight="false" outlineLevel="0" collapsed="false">
      <c r="A17" s="12" t="n">
        <v>16</v>
      </c>
      <c r="B17" s="4" t="s">
        <v>84</v>
      </c>
      <c r="C17" s="4" t="s">
        <v>89</v>
      </c>
      <c r="D17" s="4" t="s">
        <v>86</v>
      </c>
      <c r="E17" s="4" t="s">
        <v>90</v>
      </c>
      <c r="F17" s="4" t="s">
        <v>91</v>
      </c>
      <c r="G17" s="4"/>
    </row>
    <row r="18" customFormat="false" ht="23.85" hidden="false" customHeight="false" outlineLevel="0" collapsed="false">
      <c r="A18" s="12" t="n">
        <v>17</v>
      </c>
      <c r="B18" s="4" t="s">
        <v>84</v>
      </c>
      <c r="C18" s="4" t="s">
        <v>92</v>
      </c>
      <c r="D18" s="4" t="s">
        <v>86</v>
      </c>
      <c r="E18" s="4" t="s">
        <v>93</v>
      </c>
      <c r="F18" s="4" t="s">
        <v>94</v>
      </c>
      <c r="G18" s="4" t="s">
        <v>95</v>
      </c>
    </row>
    <row r="19" customFormat="false" ht="15" hidden="false" customHeight="false" outlineLevel="0" collapsed="false">
      <c r="A19" s="12" t="n">
        <v>18</v>
      </c>
      <c r="B19" s="4" t="s">
        <v>84</v>
      </c>
      <c r="C19" s="4" t="s">
        <v>96</v>
      </c>
      <c r="D19" s="4" t="s">
        <v>86</v>
      </c>
      <c r="E19" s="4" t="s">
        <v>97</v>
      </c>
      <c r="F19" s="4" t="s">
        <v>98</v>
      </c>
      <c r="G19" s="4"/>
    </row>
    <row r="20" customFormat="false" ht="23.85" hidden="false" customHeight="false" outlineLevel="0" collapsed="false">
      <c r="A20" s="12" t="n">
        <v>19</v>
      </c>
      <c r="B20" s="4" t="s">
        <v>84</v>
      </c>
      <c r="C20" s="4" t="s">
        <v>99</v>
      </c>
      <c r="D20" s="4" t="s">
        <v>86</v>
      </c>
      <c r="E20" s="4" t="s">
        <v>100</v>
      </c>
      <c r="F20" s="4" t="s">
        <v>101</v>
      </c>
      <c r="G20" s="4"/>
    </row>
    <row r="21" customFormat="false" ht="23.85" hidden="false" customHeight="false" outlineLevel="0" collapsed="false">
      <c r="A21" s="12" t="n">
        <v>20</v>
      </c>
      <c r="B21" s="4" t="s">
        <v>84</v>
      </c>
      <c r="C21" s="4" t="s">
        <v>102</v>
      </c>
      <c r="D21" s="4" t="s">
        <v>86</v>
      </c>
      <c r="E21" s="4" t="s">
        <v>103</v>
      </c>
      <c r="F21" s="4" t="s">
        <v>104</v>
      </c>
      <c r="G21" s="4" t="s">
        <v>105</v>
      </c>
    </row>
    <row r="22" customFormat="false" ht="15" hidden="false" customHeight="false" outlineLevel="0" collapsed="false">
      <c r="A22" s="12" t="n">
        <v>21</v>
      </c>
      <c r="B22" s="4" t="s">
        <v>84</v>
      </c>
      <c r="C22" s="4" t="s">
        <v>106</v>
      </c>
      <c r="D22" s="4" t="s">
        <v>86</v>
      </c>
      <c r="E22" s="4" t="s">
        <v>107</v>
      </c>
      <c r="F22" s="4" t="s">
        <v>108</v>
      </c>
      <c r="G22" s="4"/>
    </row>
    <row r="23" customFormat="false" ht="23.85" hidden="false" customHeight="false" outlineLevel="0" collapsed="false">
      <c r="A23" s="12" t="n">
        <v>22</v>
      </c>
      <c r="B23" s="4" t="s">
        <v>84</v>
      </c>
      <c r="C23" s="4" t="s">
        <v>109</v>
      </c>
      <c r="D23" s="4" t="s">
        <v>86</v>
      </c>
      <c r="E23" s="4" t="s">
        <v>93</v>
      </c>
      <c r="F23" s="4" t="s">
        <v>110</v>
      </c>
      <c r="G23" s="4" t="s">
        <v>111</v>
      </c>
    </row>
    <row r="24" customFormat="false" ht="23.85" hidden="false" customHeight="false" outlineLevel="0" collapsed="false">
      <c r="A24" s="12" t="n">
        <v>23</v>
      </c>
      <c r="B24" s="4" t="s">
        <v>84</v>
      </c>
      <c r="C24" s="4" t="s">
        <v>112</v>
      </c>
      <c r="D24" s="4" t="s">
        <v>86</v>
      </c>
      <c r="E24" s="4" t="s">
        <v>113</v>
      </c>
      <c r="F24" s="4" t="s">
        <v>88</v>
      </c>
      <c r="G24" s="4"/>
    </row>
    <row r="25" customFormat="false" ht="23.85" hidden="false" customHeight="false" outlineLevel="0" collapsed="false">
      <c r="A25" s="12" t="n">
        <v>24</v>
      </c>
      <c r="B25" s="4" t="s">
        <v>84</v>
      </c>
      <c r="C25" s="4" t="s">
        <v>114</v>
      </c>
      <c r="D25" s="4" t="s">
        <v>86</v>
      </c>
      <c r="E25" s="4" t="s">
        <v>115</v>
      </c>
      <c r="F25" s="4" t="s">
        <v>116</v>
      </c>
      <c r="G25" s="4" t="s">
        <v>117</v>
      </c>
    </row>
    <row r="26" customFormat="false" ht="23.85" hidden="false" customHeight="false" outlineLevel="0" collapsed="false">
      <c r="A26" s="12" t="n">
        <v>25</v>
      </c>
      <c r="B26" s="4" t="s">
        <v>84</v>
      </c>
      <c r="C26" s="4" t="s">
        <v>118</v>
      </c>
      <c r="D26" s="4" t="s">
        <v>86</v>
      </c>
      <c r="E26" s="4" t="s">
        <v>93</v>
      </c>
      <c r="F26" s="4" t="s">
        <v>119</v>
      </c>
      <c r="G26" s="4" t="s">
        <v>120</v>
      </c>
    </row>
    <row r="27" customFormat="false" ht="15" hidden="false" customHeight="false" outlineLevel="0" collapsed="false">
      <c r="A27" s="12" t="n">
        <v>26</v>
      </c>
      <c r="B27" s="4" t="s">
        <v>84</v>
      </c>
      <c r="C27" s="4" t="s">
        <v>121</v>
      </c>
      <c r="D27" s="4" t="s">
        <v>86</v>
      </c>
      <c r="E27" s="4" t="s">
        <v>122</v>
      </c>
      <c r="F27" s="4" t="s">
        <v>123</v>
      </c>
      <c r="G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46"/>
  </cols>
  <sheetData>
    <row r="1" customFormat="false" ht="26.85" hidden="false" customHeight="false" outlineLevel="0" collapsed="false">
      <c r="A1" s="11" t="s">
        <v>124</v>
      </c>
      <c r="B1" s="11" t="s">
        <v>125</v>
      </c>
      <c r="C1" s="11" t="s">
        <v>126</v>
      </c>
      <c r="D1" s="11" t="s">
        <v>127</v>
      </c>
      <c r="E1" s="11" t="s">
        <v>128</v>
      </c>
      <c r="F1" s="11" t="s">
        <v>129</v>
      </c>
      <c r="G1" s="11" t="s">
        <v>130</v>
      </c>
    </row>
    <row r="2" customFormat="false" ht="15" hidden="false" customHeight="false" outlineLevel="0" collapsed="false">
      <c r="A2" s="13" t="s">
        <v>131</v>
      </c>
      <c r="B2" s="4" t="s">
        <v>86</v>
      </c>
      <c r="C2" s="4" t="s">
        <v>132</v>
      </c>
      <c r="D2" s="4" t="s">
        <v>31</v>
      </c>
      <c r="E2" s="4" t="s">
        <v>28</v>
      </c>
      <c r="F2" s="14" t="s">
        <v>14</v>
      </c>
      <c r="G2" s="4"/>
    </row>
    <row r="3" customFormat="false" ht="15" hidden="false" customHeight="false" outlineLevel="0" collapsed="false">
      <c r="A3" s="13" t="s">
        <v>122</v>
      </c>
      <c r="B3" s="4" t="s">
        <v>86</v>
      </c>
      <c r="C3" s="4" t="s">
        <v>133</v>
      </c>
      <c r="D3" s="4" t="s">
        <v>123</v>
      </c>
      <c r="E3" s="4" t="s">
        <v>121</v>
      </c>
      <c r="F3" s="14" t="s">
        <v>14</v>
      </c>
      <c r="G3" s="4"/>
    </row>
    <row r="4" customFormat="false" ht="35.05" hidden="false" customHeight="false" outlineLevel="0" collapsed="false">
      <c r="A4" s="13" t="s">
        <v>93</v>
      </c>
      <c r="B4" s="4" t="s">
        <v>86</v>
      </c>
      <c r="C4" s="4" t="s">
        <v>134</v>
      </c>
      <c r="D4" s="4" t="s">
        <v>135</v>
      </c>
      <c r="E4" s="4" t="s">
        <v>136</v>
      </c>
      <c r="F4" s="14" t="s">
        <v>14</v>
      </c>
      <c r="G4" s="4" t="s">
        <v>137</v>
      </c>
    </row>
    <row r="5" customFormat="false" ht="23.85" hidden="false" customHeight="false" outlineLevel="0" collapsed="false">
      <c r="A5" s="13" t="s">
        <v>97</v>
      </c>
      <c r="B5" s="4" t="s">
        <v>86</v>
      </c>
      <c r="C5" s="4" t="s">
        <v>138</v>
      </c>
      <c r="D5" s="4" t="s">
        <v>98</v>
      </c>
      <c r="E5" s="4" t="s">
        <v>139</v>
      </c>
      <c r="F5" s="14" t="s">
        <v>14</v>
      </c>
      <c r="G5" s="4"/>
    </row>
    <row r="6" customFormat="false" ht="15" hidden="false" customHeight="false" outlineLevel="0" collapsed="false">
      <c r="A6" s="13" t="s">
        <v>140</v>
      </c>
      <c r="B6" s="4" t="s">
        <v>86</v>
      </c>
      <c r="C6" s="4" t="s">
        <v>141</v>
      </c>
      <c r="D6" s="4" t="s">
        <v>142</v>
      </c>
      <c r="E6" s="4" t="s">
        <v>89</v>
      </c>
      <c r="F6" s="14" t="s">
        <v>14</v>
      </c>
      <c r="G6" s="4" t="s">
        <v>143</v>
      </c>
    </row>
    <row r="7" customFormat="false" ht="15" hidden="false" customHeight="false" outlineLevel="0" collapsed="false">
      <c r="A7" s="13" t="s">
        <v>107</v>
      </c>
      <c r="B7" s="4" t="s">
        <v>86</v>
      </c>
      <c r="C7" s="4" t="s">
        <v>144</v>
      </c>
      <c r="D7" s="4" t="s">
        <v>108</v>
      </c>
      <c r="E7" s="4" t="s">
        <v>106</v>
      </c>
      <c r="F7" s="14" t="s">
        <v>14</v>
      </c>
      <c r="G7" s="4"/>
    </row>
    <row r="8" customFormat="false" ht="15" hidden="false" customHeight="false" outlineLevel="0" collapsed="false">
      <c r="A8" s="13" t="s">
        <v>103</v>
      </c>
      <c r="B8" s="4" t="s">
        <v>86</v>
      </c>
      <c r="C8" s="4" t="s">
        <v>145</v>
      </c>
      <c r="D8" s="4" t="s">
        <v>104</v>
      </c>
      <c r="E8" s="4" t="s">
        <v>102</v>
      </c>
      <c r="F8" s="14" t="s">
        <v>14</v>
      </c>
      <c r="G8" s="4"/>
    </row>
    <row r="9" customFormat="false" ht="23.85" hidden="false" customHeight="false" outlineLevel="0" collapsed="false">
      <c r="A9" s="13" t="s">
        <v>87</v>
      </c>
      <c r="B9" s="4" t="s">
        <v>86</v>
      </c>
      <c r="C9" s="4" t="s">
        <v>146</v>
      </c>
      <c r="D9" s="4" t="s">
        <v>88</v>
      </c>
      <c r="E9" s="4" t="s">
        <v>85</v>
      </c>
      <c r="F9" s="14" t="s">
        <v>14</v>
      </c>
      <c r="G9" s="4"/>
    </row>
    <row r="10" customFormat="false" ht="15" hidden="false" customHeight="false" outlineLevel="0" collapsed="false">
      <c r="A10" s="13" t="s">
        <v>113</v>
      </c>
      <c r="B10" s="4" t="s">
        <v>86</v>
      </c>
      <c r="C10" s="4" t="s">
        <v>147</v>
      </c>
      <c r="D10" s="4" t="s">
        <v>88</v>
      </c>
      <c r="E10" s="4" t="s">
        <v>112</v>
      </c>
      <c r="F10" s="14" t="s">
        <v>14</v>
      </c>
      <c r="G10" s="4"/>
    </row>
    <row r="11" customFormat="false" ht="15" hidden="false" customHeight="false" outlineLevel="0" collapsed="false">
      <c r="A11" s="13" t="s">
        <v>100</v>
      </c>
      <c r="B11" s="4" t="s">
        <v>86</v>
      </c>
      <c r="C11" s="4" t="s">
        <v>148</v>
      </c>
      <c r="D11" s="4" t="s">
        <v>101</v>
      </c>
      <c r="E11" s="4" t="s">
        <v>99</v>
      </c>
      <c r="F11" s="14" t="s">
        <v>14</v>
      </c>
      <c r="G11" s="4"/>
    </row>
    <row r="12" customFormat="false" ht="15" hidden="false" customHeight="false" outlineLevel="0" collapsed="false">
      <c r="A12" s="13" t="s">
        <v>47</v>
      </c>
      <c r="B12" s="4" t="s">
        <v>34</v>
      </c>
      <c r="C12" s="4" t="s">
        <v>149</v>
      </c>
      <c r="D12" s="4" t="s">
        <v>48</v>
      </c>
      <c r="E12" s="4" t="s">
        <v>46</v>
      </c>
      <c r="F12" s="14" t="s">
        <v>14</v>
      </c>
      <c r="G12" s="4"/>
    </row>
    <row r="13" customFormat="false" ht="15" hidden="false" customHeight="false" outlineLevel="0" collapsed="false">
      <c r="A13" s="13" t="s">
        <v>150</v>
      </c>
      <c r="B13" s="4" t="s">
        <v>34</v>
      </c>
      <c r="C13" s="4" t="s">
        <v>151</v>
      </c>
      <c r="D13" s="4" t="s">
        <v>152</v>
      </c>
      <c r="E13" s="4" t="s">
        <v>43</v>
      </c>
      <c r="F13" s="14" t="s">
        <v>14</v>
      </c>
      <c r="G13" s="4"/>
    </row>
    <row r="14" customFormat="false" ht="23.85" hidden="false" customHeight="false" outlineLevel="0" collapsed="false">
      <c r="A14" s="13" t="s">
        <v>153</v>
      </c>
      <c r="B14" s="4" t="s">
        <v>34</v>
      </c>
      <c r="C14" s="4" t="s">
        <v>154</v>
      </c>
      <c r="D14" s="4" t="s">
        <v>155</v>
      </c>
      <c r="E14" s="4" t="s">
        <v>156</v>
      </c>
      <c r="F14" s="14" t="s">
        <v>14</v>
      </c>
      <c r="G14" s="4"/>
    </row>
    <row r="15" customFormat="false" ht="15" hidden="false" customHeight="false" outlineLevel="0" collapsed="false">
      <c r="A15" s="13" t="s">
        <v>55</v>
      </c>
      <c r="B15" s="4" t="s">
        <v>34</v>
      </c>
      <c r="C15" s="4" t="s">
        <v>157</v>
      </c>
      <c r="D15" s="4" t="s">
        <v>56</v>
      </c>
      <c r="E15" s="4" t="s">
        <v>54</v>
      </c>
      <c r="F15" s="14" t="s">
        <v>14</v>
      </c>
      <c r="G15" s="4"/>
    </row>
    <row r="16" customFormat="false" ht="15" hidden="false" customHeight="false" outlineLevel="0" collapsed="false">
      <c r="A16" s="13" t="s">
        <v>58</v>
      </c>
      <c r="B16" s="4" t="s">
        <v>34</v>
      </c>
      <c r="C16" s="4" t="s">
        <v>158</v>
      </c>
      <c r="D16" s="4" t="s">
        <v>59</v>
      </c>
      <c r="E16" s="4" t="s">
        <v>57</v>
      </c>
      <c r="F16" s="14" t="s">
        <v>14</v>
      </c>
      <c r="G16" s="4"/>
    </row>
    <row r="17" customFormat="false" ht="35.05" hidden="false" customHeight="false" outlineLevel="0" collapsed="false">
      <c r="A17" s="13" t="s">
        <v>159</v>
      </c>
      <c r="B17" s="4" t="s">
        <v>34</v>
      </c>
      <c r="C17" s="4" t="s">
        <v>160</v>
      </c>
      <c r="D17" s="4" t="s">
        <v>161</v>
      </c>
      <c r="E17" s="4" t="s">
        <v>162</v>
      </c>
      <c r="F17" s="15" t="s">
        <v>18</v>
      </c>
      <c r="G17" s="4" t="s">
        <v>163</v>
      </c>
    </row>
    <row r="18" customFormat="false" ht="23.85" hidden="false" customHeight="false" outlineLevel="0" collapsed="false">
      <c r="A18" s="13" t="s">
        <v>164</v>
      </c>
      <c r="B18" s="4" t="s">
        <v>34</v>
      </c>
      <c r="C18" s="4" t="s">
        <v>165</v>
      </c>
      <c r="D18" s="4" t="s">
        <v>166</v>
      </c>
      <c r="E18" s="4" t="s">
        <v>162</v>
      </c>
      <c r="F18" s="15" t="s">
        <v>18</v>
      </c>
      <c r="G18" s="4" t="s">
        <v>167</v>
      </c>
    </row>
    <row r="19" customFormat="false" ht="35.05" hidden="false" customHeight="false" outlineLevel="0" collapsed="false">
      <c r="A19" s="13" t="s">
        <v>168</v>
      </c>
      <c r="B19" s="4" t="s">
        <v>34</v>
      </c>
      <c r="C19" s="4" t="s">
        <v>169</v>
      </c>
      <c r="D19" s="4" t="s">
        <v>63</v>
      </c>
      <c r="E19" s="4" t="s">
        <v>61</v>
      </c>
      <c r="F19" s="16" t="s">
        <v>16</v>
      </c>
      <c r="G19" s="4" t="s">
        <v>170</v>
      </c>
    </row>
    <row r="20" customFormat="false" ht="23.85" hidden="false" customHeight="false" outlineLevel="0" collapsed="false">
      <c r="A20" s="13" t="s">
        <v>171</v>
      </c>
      <c r="B20" s="4" t="s">
        <v>34</v>
      </c>
      <c r="C20" s="4" t="s">
        <v>172</v>
      </c>
      <c r="D20" s="4" t="s">
        <v>63</v>
      </c>
      <c r="E20" s="4" t="s">
        <v>65</v>
      </c>
      <c r="F20" s="16" t="s">
        <v>16</v>
      </c>
      <c r="G20" s="4" t="s">
        <v>173</v>
      </c>
    </row>
    <row r="21" customFormat="false" ht="15" hidden="false" customHeight="false" outlineLevel="0" collapsed="false">
      <c r="A21" s="13" t="s">
        <v>174</v>
      </c>
      <c r="B21" s="4" t="s">
        <v>175</v>
      </c>
      <c r="C21" s="4" t="s">
        <v>132</v>
      </c>
      <c r="D21" s="4" t="s">
        <v>31</v>
      </c>
      <c r="E21" s="4" t="s">
        <v>28</v>
      </c>
      <c r="F21" s="14" t="s">
        <v>14</v>
      </c>
      <c r="G21" s="4"/>
    </row>
    <row r="22" customFormat="false" ht="15" hidden="false" customHeight="false" outlineLevel="0" collapsed="false">
      <c r="A22" s="13" t="s">
        <v>74</v>
      </c>
      <c r="B22" s="4" t="s">
        <v>175</v>
      </c>
      <c r="C22" s="4" t="s">
        <v>176</v>
      </c>
      <c r="D22" s="4" t="s">
        <v>72</v>
      </c>
      <c r="E22" s="4" t="s">
        <v>73</v>
      </c>
      <c r="F22" s="14" t="s">
        <v>14</v>
      </c>
      <c r="G22" s="4"/>
    </row>
    <row r="23" customFormat="false" ht="23.85" hidden="false" customHeight="false" outlineLevel="0" collapsed="false">
      <c r="A23" s="13" t="s">
        <v>71</v>
      </c>
      <c r="B23" s="4" t="s">
        <v>175</v>
      </c>
      <c r="C23" s="4" t="s">
        <v>177</v>
      </c>
      <c r="D23" s="4" t="s">
        <v>72</v>
      </c>
      <c r="E23" s="4" t="s">
        <v>69</v>
      </c>
      <c r="F23" s="14" t="s">
        <v>14</v>
      </c>
      <c r="G23" s="4"/>
    </row>
    <row r="24" customFormat="false" ht="23.85" hidden="false" customHeight="false" outlineLevel="0" collapsed="false">
      <c r="A24" s="13" t="s">
        <v>178</v>
      </c>
      <c r="B24" s="4" t="s">
        <v>77</v>
      </c>
      <c r="C24" s="4" t="s">
        <v>132</v>
      </c>
      <c r="D24" s="4" t="s">
        <v>31</v>
      </c>
      <c r="E24" s="4" t="s">
        <v>28</v>
      </c>
      <c r="F24" s="14" t="s">
        <v>14</v>
      </c>
      <c r="G24" s="4"/>
    </row>
    <row r="25" customFormat="false" ht="23.85" hidden="false" customHeight="false" outlineLevel="0" collapsed="false">
      <c r="A25" s="13" t="s">
        <v>179</v>
      </c>
      <c r="B25" s="4" t="s">
        <v>77</v>
      </c>
      <c r="C25" s="4" t="s">
        <v>180</v>
      </c>
      <c r="D25" s="4" t="s">
        <v>181</v>
      </c>
      <c r="E25" s="4" t="s">
        <v>76</v>
      </c>
      <c r="F25" s="14" t="s">
        <v>14</v>
      </c>
      <c r="G25" s="4"/>
    </row>
    <row r="26" customFormat="false" ht="23.85" hidden="false" customHeight="false" outlineLevel="0" collapsed="false">
      <c r="A26" s="13" t="s">
        <v>182</v>
      </c>
      <c r="B26" s="4" t="s">
        <v>77</v>
      </c>
      <c r="C26" s="4" t="s">
        <v>183</v>
      </c>
      <c r="D26" s="4" t="s">
        <v>184</v>
      </c>
      <c r="E26" s="4" t="s">
        <v>76</v>
      </c>
      <c r="F26" s="14" t="s">
        <v>14</v>
      </c>
      <c r="G26" s="4" t="s">
        <v>185</v>
      </c>
    </row>
    <row r="27" customFormat="false" ht="15" hidden="false" customHeight="false" outlineLevel="0" collapsed="false">
      <c r="A27" s="13" t="s">
        <v>186</v>
      </c>
      <c r="B27" s="4" t="s">
        <v>81</v>
      </c>
      <c r="C27" s="4" t="s">
        <v>132</v>
      </c>
      <c r="D27" s="4" t="s">
        <v>31</v>
      </c>
      <c r="E27" s="4" t="s">
        <v>28</v>
      </c>
      <c r="F27" s="14" t="s">
        <v>14</v>
      </c>
      <c r="G27" s="4"/>
    </row>
    <row r="28" customFormat="false" ht="35.05" hidden="false" customHeight="false" outlineLevel="0" collapsed="false">
      <c r="A28" s="13" t="s">
        <v>187</v>
      </c>
      <c r="B28" s="4" t="s">
        <v>81</v>
      </c>
      <c r="C28" s="4" t="s">
        <v>188</v>
      </c>
      <c r="D28" s="4" t="s">
        <v>189</v>
      </c>
      <c r="E28" s="4" t="s">
        <v>190</v>
      </c>
      <c r="F28" s="14" t="s">
        <v>14</v>
      </c>
      <c r="G28" s="4"/>
    </row>
    <row r="29" customFormat="false" ht="15" hidden="false" customHeight="false" outlineLevel="0" collapsed="false">
      <c r="A29" s="13" t="s">
        <v>191</v>
      </c>
      <c r="B29" s="4" t="s">
        <v>81</v>
      </c>
      <c r="C29" s="4" t="s">
        <v>192</v>
      </c>
      <c r="D29" s="4" t="s">
        <v>193</v>
      </c>
      <c r="E29" s="4" t="s">
        <v>80</v>
      </c>
      <c r="F29" s="14" t="s">
        <v>14</v>
      </c>
      <c r="G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26.85" hidden="false" customHeight="false" outlineLevel="0" collapsed="false">
      <c r="A1" s="11" t="s">
        <v>194</v>
      </c>
      <c r="B1" s="11" t="s">
        <v>195</v>
      </c>
      <c r="C1" s="11" t="s">
        <v>196</v>
      </c>
      <c r="D1" s="11" t="s">
        <v>197</v>
      </c>
      <c r="E1" s="11" t="s">
        <v>130</v>
      </c>
    </row>
    <row r="2" customFormat="false" ht="46.25" hidden="false" customHeight="false" outlineLevel="0" collapsed="false">
      <c r="A2" s="13" t="s">
        <v>198</v>
      </c>
      <c r="B2" s="4" t="s">
        <v>199</v>
      </c>
      <c r="C2" s="4" t="s">
        <v>200</v>
      </c>
      <c r="D2" s="10" t="s">
        <v>201</v>
      </c>
      <c r="E2" s="4" t="s">
        <v>202</v>
      </c>
    </row>
    <row r="3" customFormat="false" ht="15" hidden="false" customHeight="false" outlineLevel="0" collapsed="false">
      <c r="A3" s="13" t="s">
        <v>48</v>
      </c>
      <c r="B3" s="4" t="s">
        <v>203</v>
      </c>
      <c r="C3" s="4" t="s">
        <v>47</v>
      </c>
      <c r="D3" s="7" t="s">
        <v>204</v>
      </c>
      <c r="E3" s="4"/>
    </row>
    <row r="4" customFormat="false" ht="35.05" hidden="false" customHeight="false" outlineLevel="0" collapsed="false">
      <c r="A4" s="13" t="s">
        <v>152</v>
      </c>
      <c r="B4" s="4" t="s">
        <v>205</v>
      </c>
      <c r="C4" s="4" t="s">
        <v>206</v>
      </c>
      <c r="D4" s="9" t="s">
        <v>207</v>
      </c>
      <c r="E4" s="4" t="s">
        <v>208</v>
      </c>
    </row>
    <row r="5" customFormat="false" ht="23.85" hidden="false" customHeight="false" outlineLevel="0" collapsed="false">
      <c r="A5" s="13" t="s">
        <v>209</v>
      </c>
      <c r="B5" s="4" t="s">
        <v>210</v>
      </c>
      <c r="C5" s="4" t="s">
        <v>211</v>
      </c>
      <c r="D5" s="7" t="s">
        <v>204</v>
      </c>
      <c r="E5" s="4"/>
    </row>
    <row r="6" customFormat="false" ht="23.85" hidden="false" customHeight="false" outlineLevel="0" collapsed="false">
      <c r="A6" s="13" t="s">
        <v>155</v>
      </c>
      <c r="B6" s="4" t="s">
        <v>212</v>
      </c>
      <c r="C6" s="4" t="s">
        <v>153</v>
      </c>
      <c r="D6" s="7" t="s">
        <v>204</v>
      </c>
      <c r="E6" s="4" t="s">
        <v>213</v>
      </c>
    </row>
    <row r="7" customFormat="false" ht="15" hidden="false" customHeight="false" outlineLevel="0" collapsed="false">
      <c r="A7" s="13" t="s">
        <v>214</v>
      </c>
      <c r="B7" s="4" t="s">
        <v>215</v>
      </c>
      <c r="C7" s="4" t="s">
        <v>122</v>
      </c>
      <c r="D7" s="7" t="s">
        <v>204</v>
      </c>
      <c r="E7" s="4"/>
    </row>
    <row r="8" customFormat="false" ht="15" hidden="false" customHeight="false" outlineLevel="0" collapsed="false">
      <c r="A8" s="13" t="s">
        <v>216</v>
      </c>
      <c r="B8" s="4" t="s">
        <v>217</v>
      </c>
      <c r="C8" s="4" t="s">
        <v>122</v>
      </c>
      <c r="D8" s="7" t="s">
        <v>204</v>
      </c>
      <c r="E8" s="4"/>
    </row>
    <row r="9" customFormat="false" ht="15" hidden="false" customHeight="false" outlineLevel="0" collapsed="false">
      <c r="A9" s="13" t="s">
        <v>119</v>
      </c>
      <c r="B9" s="4" t="s">
        <v>218</v>
      </c>
      <c r="C9" s="4" t="s">
        <v>93</v>
      </c>
      <c r="D9" s="7" t="s">
        <v>204</v>
      </c>
      <c r="E9" s="4"/>
    </row>
    <row r="10" customFormat="false" ht="15" hidden="false" customHeight="false" outlineLevel="0" collapsed="false">
      <c r="A10" s="13" t="s">
        <v>110</v>
      </c>
      <c r="B10" s="4" t="s">
        <v>219</v>
      </c>
      <c r="C10" s="4" t="s">
        <v>93</v>
      </c>
      <c r="D10" s="7" t="s">
        <v>204</v>
      </c>
      <c r="E10" s="4"/>
    </row>
    <row r="11" customFormat="false" ht="15" hidden="false" customHeight="false" outlineLevel="0" collapsed="false">
      <c r="A11" s="13" t="s">
        <v>94</v>
      </c>
      <c r="B11" s="4" t="s">
        <v>220</v>
      </c>
      <c r="C11" s="4" t="s">
        <v>93</v>
      </c>
      <c r="D11" s="7" t="s">
        <v>204</v>
      </c>
      <c r="E11" s="4"/>
    </row>
    <row r="12" customFormat="false" ht="15" hidden="false" customHeight="false" outlineLevel="0" collapsed="false">
      <c r="A12" s="13" t="s">
        <v>221</v>
      </c>
      <c r="B12" s="4" t="s">
        <v>222</v>
      </c>
      <c r="C12" s="4" t="s">
        <v>97</v>
      </c>
      <c r="D12" s="7" t="s">
        <v>204</v>
      </c>
      <c r="E12" s="4"/>
    </row>
    <row r="13" customFormat="false" ht="15" hidden="false" customHeight="false" outlineLevel="0" collapsed="false">
      <c r="A13" s="13" t="s">
        <v>142</v>
      </c>
      <c r="B13" s="4" t="s">
        <v>223</v>
      </c>
      <c r="C13" s="4" t="s">
        <v>140</v>
      </c>
      <c r="D13" s="7" t="s">
        <v>204</v>
      </c>
      <c r="E13" s="4"/>
    </row>
    <row r="14" customFormat="false" ht="15" hidden="false" customHeight="false" outlineLevel="0" collapsed="false">
      <c r="A14" s="13" t="s">
        <v>224</v>
      </c>
      <c r="B14" s="4" t="s">
        <v>225</v>
      </c>
      <c r="C14" s="4" t="s">
        <v>97</v>
      </c>
      <c r="D14" s="7" t="s">
        <v>204</v>
      </c>
      <c r="E14" s="4"/>
    </row>
    <row r="15" customFormat="false" ht="23.85" hidden="false" customHeight="false" outlineLevel="0" collapsed="false">
      <c r="A15" s="13" t="s">
        <v>226</v>
      </c>
      <c r="B15" s="4" t="s">
        <v>227</v>
      </c>
      <c r="C15" s="4" t="s">
        <v>228</v>
      </c>
      <c r="D15" s="9" t="s">
        <v>229</v>
      </c>
      <c r="E15" s="4" t="s">
        <v>230</v>
      </c>
    </row>
    <row r="16" customFormat="false" ht="15" hidden="false" customHeight="false" outlineLevel="0" collapsed="false">
      <c r="A16" s="13" t="s">
        <v>104</v>
      </c>
      <c r="B16" s="4" t="s">
        <v>231</v>
      </c>
      <c r="C16" s="4" t="s">
        <v>103</v>
      </c>
      <c r="D16" s="7" t="s">
        <v>204</v>
      </c>
      <c r="E16" s="4"/>
    </row>
    <row r="17" customFormat="false" ht="15" hidden="false" customHeight="false" outlineLevel="0" collapsed="false">
      <c r="A17" s="13" t="s">
        <v>108</v>
      </c>
      <c r="B17" s="4" t="s">
        <v>232</v>
      </c>
      <c r="C17" s="4" t="s">
        <v>107</v>
      </c>
      <c r="D17" s="7" t="s">
        <v>204</v>
      </c>
      <c r="E17" s="4"/>
    </row>
    <row r="18" customFormat="false" ht="15" hidden="false" customHeight="false" outlineLevel="0" collapsed="false">
      <c r="A18" s="13" t="s">
        <v>56</v>
      </c>
      <c r="B18" s="4" t="s">
        <v>233</v>
      </c>
      <c r="C18" s="4" t="s">
        <v>55</v>
      </c>
      <c r="D18" s="7" t="s">
        <v>204</v>
      </c>
      <c r="E18" s="4"/>
    </row>
    <row r="19" customFormat="false" ht="15" hidden="false" customHeight="false" outlineLevel="0" collapsed="false">
      <c r="A19" s="13" t="s">
        <v>234</v>
      </c>
      <c r="B19" s="4" t="s">
        <v>235</v>
      </c>
      <c r="C19" s="4" t="s">
        <v>58</v>
      </c>
      <c r="D19" s="7" t="s">
        <v>204</v>
      </c>
      <c r="E19" s="4"/>
    </row>
    <row r="20" customFormat="false" ht="15" hidden="false" customHeight="false" outlineLevel="0" collapsed="false">
      <c r="A20" s="13" t="s">
        <v>236</v>
      </c>
      <c r="B20" s="4" t="s">
        <v>237</v>
      </c>
      <c r="C20" s="4" t="s">
        <v>58</v>
      </c>
      <c r="D20" s="7" t="s">
        <v>204</v>
      </c>
      <c r="E20" s="4"/>
    </row>
    <row r="21" customFormat="false" ht="23.85" hidden="false" customHeight="false" outlineLevel="0" collapsed="false">
      <c r="A21" s="13" t="s">
        <v>161</v>
      </c>
      <c r="B21" s="4" t="s">
        <v>238</v>
      </c>
      <c r="C21" s="4" t="s">
        <v>159</v>
      </c>
      <c r="D21" s="10" t="s">
        <v>239</v>
      </c>
      <c r="E21" s="4" t="s">
        <v>240</v>
      </c>
    </row>
    <row r="22" customFormat="false" ht="23.85" hidden="false" customHeight="false" outlineLevel="0" collapsed="false">
      <c r="A22" s="13" t="s">
        <v>241</v>
      </c>
      <c r="B22" s="4" t="s">
        <v>242</v>
      </c>
      <c r="C22" s="4" t="s">
        <v>164</v>
      </c>
      <c r="D22" s="10" t="s">
        <v>239</v>
      </c>
      <c r="E22" s="4" t="s">
        <v>243</v>
      </c>
    </row>
    <row r="23" customFormat="false" ht="23.85" hidden="false" customHeight="false" outlineLevel="0" collapsed="false">
      <c r="A23" s="13" t="s">
        <v>244</v>
      </c>
      <c r="B23" s="4" t="s">
        <v>245</v>
      </c>
      <c r="C23" s="4" t="s">
        <v>164</v>
      </c>
      <c r="D23" s="10" t="s">
        <v>239</v>
      </c>
      <c r="E23" s="4" t="s">
        <v>243</v>
      </c>
    </row>
    <row r="24" customFormat="false" ht="23.85" hidden="false" customHeight="false" outlineLevel="0" collapsed="false">
      <c r="A24" s="13" t="s">
        <v>246</v>
      </c>
      <c r="B24" s="4" t="s">
        <v>247</v>
      </c>
      <c r="C24" s="4" t="s">
        <v>191</v>
      </c>
      <c r="D24" s="9" t="s">
        <v>207</v>
      </c>
      <c r="E24" s="4" t="s">
        <v>248</v>
      </c>
    </row>
    <row r="25" customFormat="false" ht="15" hidden="false" customHeight="false" outlineLevel="0" collapsed="false">
      <c r="A25" s="13" t="s">
        <v>184</v>
      </c>
      <c r="B25" s="4" t="s">
        <v>249</v>
      </c>
      <c r="C25" s="4" t="s">
        <v>182</v>
      </c>
      <c r="D25" s="7" t="s">
        <v>204</v>
      </c>
      <c r="E25" s="4" t="s">
        <v>250</v>
      </c>
    </row>
    <row r="26" customFormat="false" ht="23.85" hidden="false" customHeight="false" outlineLevel="0" collapsed="false">
      <c r="A26" s="13" t="s">
        <v>251</v>
      </c>
      <c r="B26" s="4" t="s">
        <v>252</v>
      </c>
      <c r="C26" s="4" t="s">
        <v>253</v>
      </c>
      <c r="D26" s="10" t="s">
        <v>254</v>
      </c>
      <c r="E26" s="4" t="s">
        <v>255</v>
      </c>
    </row>
    <row r="27" customFormat="false" ht="23.85" hidden="false" customHeight="false" outlineLevel="0" collapsed="false">
      <c r="A27" s="13" t="s">
        <v>256</v>
      </c>
      <c r="B27" s="4" t="s">
        <v>257</v>
      </c>
      <c r="C27" s="4" t="s">
        <v>179</v>
      </c>
      <c r="D27" s="10" t="s">
        <v>254</v>
      </c>
      <c r="E27" s="4"/>
    </row>
    <row r="28" customFormat="false" ht="23.85" hidden="false" customHeight="false" outlineLevel="0" collapsed="false">
      <c r="A28" s="13" t="s">
        <v>258</v>
      </c>
      <c r="B28" s="4" t="s">
        <v>259</v>
      </c>
      <c r="C28" s="4" t="s">
        <v>187</v>
      </c>
      <c r="D28" s="10" t="s">
        <v>254</v>
      </c>
      <c r="E28" s="4"/>
    </row>
    <row r="29" customFormat="false" ht="23.85" hidden="false" customHeight="false" outlineLevel="0" collapsed="false">
      <c r="A29" s="13" t="s">
        <v>260</v>
      </c>
      <c r="B29" s="4" t="s">
        <v>261</v>
      </c>
      <c r="C29" s="4" t="s">
        <v>100</v>
      </c>
      <c r="D29" s="10" t="s">
        <v>254</v>
      </c>
      <c r="E29" s="4"/>
    </row>
    <row r="30" customFormat="false" ht="23.85" hidden="false" customHeight="false" outlineLevel="0" collapsed="false">
      <c r="A30" s="13" t="s">
        <v>262</v>
      </c>
      <c r="B30" s="4" t="s">
        <v>263</v>
      </c>
      <c r="C30" s="4" t="s">
        <v>264</v>
      </c>
      <c r="D30" s="10" t="s">
        <v>254</v>
      </c>
      <c r="E3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55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265</v>
      </c>
    </row>
    <row r="4" customFormat="false" ht="15" hidden="false" customHeight="false" outlineLevel="0" collapsed="false">
      <c r="B4" s="3" t="s">
        <v>266</v>
      </c>
      <c r="C4" s="3" t="s">
        <v>267</v>
      </c>
      <c r="D4" s="3" t="s">
        <v>268</v>
      </c>
      <c r="E4" s="3" t="s">
        <v>269</v>
      </c>
    </row>
    <row r="5" customFormat="false" ht="69.75" hidden="false" customHeight="true" outlineLevel="0" collapsed="false">
      <c r="B5" s="17" t="s">
        <v>270</v>
      </c>
      <c r="C5" s="18" t="s">
        <v>271</v>
      </c>
      <c r="D5" s="18" t="s">
        <v>272</v>
      </c>
      <c r="E5" s="18" t="s">
        <v>273</v>
      </c>
    </row>
    <row r="6" customFormat="false" ht="69.75" hidden="false" customHeight="true" outlineLevel="0" collapsed="false">
      <c r="B6" s="17" t="s">
        <v>274</v>
      </c>
      <c r="C6" s="18" t="s">
        <v>275</v>
      </c>
      <c r="D6" s="18" t="s">
        <v>276</v>
      </c>
      <c r="E6" s="18" t="s">
        <v>277</v>
      </c>
    </row>
    <row r="7" customFormat="false" ht="69.75" hidden="false" customHeight="true" outlineLevel="0" collapsed="false">
      <c r="B7" s="17" t="s">
        <v>278</v>
      </c>
      <c r="C7" s="18" t="s">
        <v>279</v>
      </c>
      <c r="D7" s="18" t="s">
        <v>280</v>
      </c>
      <c r="E7" s="18" t="s">
        <v>281</v>
      </c>
    </row>
    <row r="8" customFormat="false" ht="69.75" hidden="false" customHeight="true" outlineLevel="0" collapsed="false">
      <c r="B8" s="17" t="s">
        <v>282</v>
      </c>
      <c r="C8" s="18" t="s">
        <v>283</v>
      </c>
      <c r="D8" s="18" t="s">
        <v>284</v>
      </c>
      <c r="E8" s="18" t="s">
        <v>285</v>
      </c>
    </row>
    <row r="9" customFormat="false" ht="69.75" hidden="false" customHeight="true" outlineLevel="0" collapsed="false">
      <c r="B9" s="17" t="s">
        <v>286</v>
      </c>
      <c r="C9" s="18" t="s">
        <v>287</v>
      </c>
      <c r="D9" s="18" t="s">
        <v>288</v>
      </c>
      <c r="E9" s="18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2026-09-04T22:11:44Z</dcterms:created>
  <dc:creator>openpyxl</dc:creator>
  <dc:description/>
  <dc:language>en-US</dc:language>
  <cp:lastModifiedBy/>
  <dcterms:modified xsi:type="dcterms:W3CDTF">2026-09-04T22:11:44Z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